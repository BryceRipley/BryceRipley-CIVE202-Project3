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ripst\Downloads\"/>
    </mc:Choice>
  </mc:AlternateContent>
  <xr:revisionPtr revIDLastSave="0" documentId="13_ncr:11_{6D2D9D91-2B06-48C6-AA31-20ED119E2700}"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2" i="11" l="1"/>
  <c r="E44" i="11" s="1"/>
  <c r="F41" i="11"/>
  <c r="H41" i="11" s="1"/>
  <c r="F42" i="11"/>
  <c r="H42" i="11" s="1"/>
  <c r="F38" i="11"/>
  <c r="E38" i="11"/>
  <c r="E34" i="11"/>
  <c r="F33" i="11"/>
  <c r="H33" i="11" s="1"/>
  <c r="F29" i="11"/>
  <c r="F30" i="11"/>
  <c r="F31" i="11"/>
  <c r="F28" i="11"/>
  <c r="F24" i="11"/>
  <c r="F25" i="11"/>
  <c r="F26" i="11"/>
  <c r="F23" i="11"/>
  <c r="F19" i="11"/>
  <c r="F20" i="11"/>
  <c r="F21" i="11"/>
  <c r="F18" i="11"/>
  <c r="F14" i="11"/>
  <c r="F15" i="11"/>
  <c r="F16" i="11"/>
  <c r="F13" i="11"/>
  <c r="F11" i="11"/>
  <c r="E9" i="11"/>
  <c r="F9" i="11" s="1"/>
  <c r="H47" i="11"/>
  <c r="H43" i="11"/>
  <c r="H39" i="11"/>
  <c r="H37" i="11"/>
  <c r="H32" i="11"/>
  <c r="H27" i="11"/>
  <c r="H7" i="11"/>
  <c r="E45" i="11" l="1"/>
  <c r="H38" i="11"/>
  <c r="F44" i="11"/>
  <c r="F45" i="11" s="1"/>
  <c r="F46" i="11" s="1"/>
  <c r="F34" i="11"/>
  <c r="F10" i="11"/>
  <c r="E11" i="11" s="1"/>
  <c r="E10" i="11"/>
  <c r="I5" i="11"/>
  <c r="H8" i="11"/>
  <c r="H34" i="11" l="1"/>
  <c r="E35" i="11"/>
  <c r="E46" i="11"/>
  <c r="H45" i="11"/>
  <c r="H44" i="11"/>
  <c r="H9" i="11"/>
  <c r="H18" i="11"/>
  <c r="I6" i="11"/>
  <c r="E48" i="11" l="1"/>
  <c r="F48" i="11" s="1"/>
  <c r="H48" i="11" s="1"/>
  <c r="H46" i="11"/>
  <c r="F35" i="11"/>
  <c r="E36" i="11" s="1"/>
  <c r="H28" i="11"/>
  <c r="H17" i="11"/>
  <c r="H31" i="11"/>
  <c r="H30" i="11"/>
  <c r="H26" i="11"/>
  <c r="H10" i="11"/>
  <c r="H12" i="11"/>
  <c r="J5" i="11"/>
  <c r="K5" i="11" s="1"/>
  <c r="L5" i="11" s="1"/>
  <c r="M5" i="11" s="1"/>
  <c r="N5" i="11" s="1"/>
  <c r="O5" i="11" s="1"/>
  <c r="P5" i="11" s="1"/>
  <c r="I4" i="11"/>
  <c r="F36" i="11" l="1"/>
  <c r="E40" i="11"/>
  <c r="H35" i="11"/>
  <c r="H24" i="11"/>
  <c r="H22" i="11"/>
  <c r="H20" i="11"/>
  <c r="H29" i="11"/>
  <c r="H21" i="11"/>
  <c r="H11" i="11"/>
  <c r="P4" i="11"/>
  <c r="Q5" i="11"/>
  <c r="R5" i="11" s="1"/>
  <c r="S5" i="11" s="1"/>
  <c r="T5" i="11" s="1"/>
  <c r="U5" i="11" s="1"/>
  <c r="V5" i="11" s="1"/>
  <c r="W5" i="11" s="1"/>
  <c r="J6" i="11"/>
  <c r="H36" i="11" l="1"/>
  <c r="F40" i="11"/>
  <c r="H40" i="11" s="1"/>
  <c r="H25" i="11"/>
  <c r="H23" i="11"/>
  <c r="H19" i="11"/>
  <c r="H16" i="11"/>
  <c r="H15" i="11"/>
  <c r="W4" i="11"/>
  <c r="X5" i="11"/>
  <c r="Y5" i="11" s="1"/>
  <c r="Z5" i="11" s="1"/>
  <c r="AA5" i="11" s="1"/>
  <c r="AB5" i="11" s="1"/>
  <c r="AC5" i="11" s="1"/>
  <c r="AD5" i="11" s="1"/>
  <c r="K6" i="11"/>
  <c r="H13" i="11" l="1"/>
  <c r="H14" i="1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<sst xmlns="http://schemas.openxmlformats.org/spreadsheetml/2006/main" count="115" uniqueCount="72">
  <si>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</si>
  <si>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</si>
  <si>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</si>
  <si>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</si>
  <si>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</si>
  <si>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</si>
  <si>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</si>
  <si>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</si>
  <si>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</si>
  <si>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</si>
  <si>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</si>
  <si>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</si>
  <si>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</si>
  <si>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</si>
  <si>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</si>
  <si>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</si>
  <si>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</si>
  <si>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</si>
  <si>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</si>
  <si>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</si>
  <si>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</si>
  <si>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</si>
  <si>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</si>
  <si>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Civil Analysis II - Project 3</t>
  </si>
  <si>
    <t>Bryce Ripley</t>
  </si>
  <si>
    <t>Project Setup</t>
  </si>
  <si>
    <t>Review Client Prompt</t>
  </si>
  <si>
    <t>Identify what the data is about</t>
  </si>
  <si>
    <t>Establish project timeline</t>
  </si>
  <si>
    <t>Scope of Work Development</t>
  </si>
  <si>
    <t>Project Goals</t>
  </si>
  <si>
    <t>Define the major tasks</t>
  </si>
  <si>
    <t>Identify what variables will be used</t>
  </si>
  <si>
    <t>Finalize the document and deliverables</t>
  </si>
  <si>
    <t>NHTS Data Analysis</t>
  </si>
  <si>
    <t>Import and clean NHTS dataset</t>
  </si>
  <si>
    <t>Create bar chart (vehicles per household by income)</t>
  </si>
  <si>
    <t>Create histogram (vehicle age distribution)</t>
  </si>
  <si>
    <t>Create boxplot (vehicles per household by urban status)</t>
  </si>
  <si>
    <t>NGSIM Data Analysis</t>
  </si>
  <si>
    <t>Import and clean NGSIM dataset</t>
  </si>
  <si>
    <t>Select follower–leader vehicle trajectory</t>
  </si>
  <si>
    <t>Plot follower speed over time</t>
  </si>
  <si>
    <t>Plot follower position over time</t>
  </si>
  <si>
    <t>IDM Simulation Development</t>
  </si>
  <si>
    <t>Implement IDM function in Python</t>
  </si>
  <si>
    <t>Run simulation using NGSIM leader data</t>
  </si>
  <si>
    <t>Plot simulated vs actual follower position</t>
  </si>
  <si>
    <t>Plot simulated vs actual follower speed</t>
  </si>
  <si>
    <t>Written Technical Report</t>
  </si>
  <si>
    <t>Write Introduction</t>
  </si>
  <si>
    <t>Write Methods (NHTS, NGSIM, IDM)</t>
  </si>
  <si>
    <t>Insert all figures and captions</t>
  </si>
  <si>
    <t>Finalize formatting and layout</t>
  </si>
  <si>
    <t>Annotated Code Document</t>
  </si>
  <si>
    <t>Write annotations for each code chunk</t>
  </si>
  <si>
    <t>Engineering Timesheet</t>
  </si>
  <si>
    <t>Log hours for each task</t>
  </si>
  <si>
    <t>Format timesheet</t>
  </si>
  <si>
    <t>Apply Hourly wage and Totals</t>
  </si>
  <si>
    <t>Github Repository</t>
  </si>
  <si>
    <t>Create repository</t>
  </si>
  <si>
    <t>Upload all deliverables</t>
  </si>
  <si>
    <t>Add README</t>
  </si>
  <si>
    <t>Finalize</t>
  </si>
  <si>
    <t>Submit link to canvas</t>
  </si>
  <si>
    <t>1*</t>
  </si>
  <si>
    <t>2*</t>
  </si>
  <si>
    <t xml:space="preserve">TASK NO# </t>
  </si>
  <si>
    <t>4*</t>
  </si>
  <si>
    <t>3*, 4*, 5*</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</si>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</sst>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7"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20"/>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FFF00"/>
        <bgColor indexed="64"/>
      </patternFill>
    </fill>
  </fills>
  <borders count="5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bottom style="thin">
        <color theme="8" tint="0.59996337778862885"/>
      </bottom>
      <diagonal/>
    </border>
    <border>
      <left style="medium">
        <color indexed="64"/>
      </left>
      <right/>
      <top style="thin">
        <color theme="6" tint="0.59996337778862885"/>
      </top>
      <bottom style="thin">
        <color theme="6" tint="0.59996337778862885"/>
      </bottom>
      <diagonal/>
    </border>
    <border>
      <left style="medium">
        <color indexed="64"/>
      </left>
      <right/>
      <top style="thin">
        <color theme="6" tint="0.59996337778862885"/>
      </top>
      <bottom style="medium">
        <color indexed="64"/>
      </bottom>
      <diagonal/>
    </border>
    <border>
      <left/>
      <right/>
      <top style="thin">
        <color theme="6" tint="0.59996337778862885"/>
      </top>
      <bottom style="medium">
        <color indexed="64"/>
      </bottom>
      <diagonal/>
    </border>
    <border>
      <left style="medium">
        <color indexed="64"/>
      </left>
      <right/>
      <top style="thin">
        <color theme="5" tint="0.59996337778862885"/>
      </top>
      <bottom style="thin">
        <color theme="5" tint="0.59996337778862885"/>
      </bottom>
      <diagonal/>
    </border>
    <border>
      <left style="medium">
        <color indexed="64"/>
      </left>
      <right/>
      <top style="thin">
        <color theme="5" tint="0.59996337778862885"/>
      </top>
      <bottom style="medium">
        <color indexed="64"/>
      </bottom>
      <diagonal/>
    </border>
    <border>
      <left/>
      <right/>
      <top style="thin">
        <color theme="5" tint="0.59996337778862885"/>
      </top>
      <bottom style="medium">
        <color indexed="64"/>
      </bottom>
      <diagonal/>
    </border>
    <border>
      <left style="medium">
        <color indexed="64"/>
      </left>
      <right/>
      <top/>
      <bottom style="thin">
        <color theme="4" tint="0.59996337778862885"/>
      </bottom>
      <diagonal/>
    </border>
    <border>
      <left/>
      <right style="medium">
        <color indexed="64"/>
      </right>
      <top/>
      <bottom style="thin">
        <color theme="4" tint="0.59996337778862885"/>
      </bottom>
      <diagonal/>
    </border>
    <border>
      <left style="medium">
        <color indexed="64"/>
      </left>
      <right/>
      <top style="thin">
        <color theme="4" tint="0.59996337778862885"/>
      </top>
      <bottom style="thin">
        <color theme="4" tint="0.59996337778862885"/>
      </bottom>
      <diagonal/>
    </border>
    <border>
      <left/>
      <right style="medium">
        <color indexed="64"/>
      </right>
      <top style="thin">
        <color theme="4" tint="0.59996337778862885"/>
      </top>
      <bottom style="thin">
        <color theme="4" tint="0.59996337778862885"/>
      </bottom>
      <diagonal/>
    </border>
    <border>
      <left style="medium">
        <color indexed="64"/>
      </left>
      <right/>
      <top style="thin">
        <color theme="4" tint="0.59996337778862885"/>
      </top>
      <bottom style="medium">
        <color indexed="64"/>
      </bottom>
      <diagonal/>
    </border>
    <border>
      <left/>
      <right/>
      <top/>
      <bottom style="medium">
        <color indexed="64"/>
      </bottom>
      <diagonal/>
    </border>
    <border>
      <left/>
      <right/>
      <top style="thin">
        <color theme="4" tint="0.59996337778862885"/>
      </top>
      <bottom style="medium">
        <color indexed="64"/>
      </bottom>
      <diagonal/>
    </border>
    <border>
      <left style="medium">
        <color indexed="64"/>
      </left>
      <right/>
      <top style="thin">
        <color theme="8" tint="0.59996337778862885"/>
      </top>
      <bottom style="thin">
        <color theme="8" tint="0.59996337778862885"/>
      </bottom>
      <diagonal/>
    </border>
    <border>
      <left style="medium">
        <color indexed="64"/>
      </left>
      <right/>
      <top style="thin">
        <color theme="8" tint="0.59996337778862885"/>
      </top>
      <bottom style="medium">
        <color indexed="64"/>
      </bottom>
      <diagonal/>
    </border>
    <border>
      <left/>
      <right/>
      <top style="thin">
        <color theme="8" tint="0.59996337778862885"/>
      </top>
      <bottom style="medium">
        <color indexed="64"/>
      </bottom>
      <diagonal/>
    </border>
    <border>
      <left/>
      <right style="medium">
        <color indexed="64"/>
      </right>
      <top style="thin">
        <color theme="8" tint="0.59996337778862885"/>
      </top>
      <bottom style="medium">
        <color indexed="64"/>
      </bottom>
      <diagonal/>
    </border>
    <border>
      <left/>
      <right/>
      <top style="thin">
        <color theme="8" tint="0.59996337778862885"/>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theme="5" tint="0.59996337778862885"/>
      </bottom>
      <diagonal/>
    </border>
    <border>
      <left/>
      <right/>
      <top/>
      <bottom style="thin">
        <color theme="5" tint="0.59996337778862885"/>
      </bottom>
      <diagonal/>
    </border>
    <border>
      <left style="medium">
        <color indexed="64"/>
      </left>
      <right/>
      <top/>
      <bottom style="thin">
        <color theme="6" tint="0.59996337778862885"/>
      </bottom>
      <diagonal/>
    </border>
    <border>
      <left/>
      <right/>
      <top/>
      <bottom style="thin">
        <color theme="6" tint="0.59996337778862885"/>
      </bottom>
      <diagonal/>
    </border>
    <border>
      <left style="medium">
        <color indexed="64"/>
      </left>
      <right/>
      <top/>
      <bottom style="thin">
        <color theme="8" tint="0.59996337778862885"/>
      </bottom>
      <diagonal/>
    </border>
    <border>
      <left/>
      <right style="medium">
        <color indexed="64"/>
      </right>
      <top/>
      <bottom style="thin">
        <color theme="8" tint="0.59996337778862885"/>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84">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5" borderId="20" xfId="0" applyNumberFormat="1" applyFont="1" applyFill="1" applyBorder="1" applyAlignment="1">
      <alignment horizontal="center" vertical="center"/>
    </xf>
    <xf numFmtId="167" fontId="17" fillId="5" borderId="18" xfId="0" applyNumberFormat="1" applyFont="1" applyFill="1" applyBorder="1" applyAlignment="1">
      <alignment horizontal="center" vertical="center"/>
    </xf>
    <xf numFmtId="167" fontId="17" fillId="5"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4" fillId="0" borderId="12"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15" fillId="3" borderId="5" xfId="11" applyFont="1" applyFill="1" applyBorder="1" applyAlignment="1">
      <alignment vertical="center"/>
    </xf>
    <xf numFmtId="9" fontId="1" fillId="3" borderId="5" xfId="2" applyFont="1" applyFill="1" applyBorder="1" applyAlignment="1">
      <alignment horizontal="center" vertical="center"/>
    </xf>
    <xf numFmtId="164" fontId="15" fillId="3" borderId="5" xfId="10" applyFont="1" applyFill="1" applyBorder="1">
      <alignment horizontal="center" vertical="center"/>
    </xf>
    <xf numFmtId="0" fontId="4" fillId="0" borderId="11" xfId="0" applyFont="1" applyBorder="1" applyAlignment="1">
      <alignment vertical="center"/>
    </xf>
    <xf numFmtId="0" fontId="4" fillId="0" borderId="10" xfId="0" applyFont="1" applyBorder="1" applyAlignment="1">
      <alignment vertical="center"/>
    </xf>
    <xf numFmtId="0" fontId="20" fillId="0" borderId="0" xfId="6" applyFont="1" applyAlignment="1">
      <alignment horizontal="left" vertical="center" indent="1"/>
    </xf>
    <xf numFmtId="0" fontId="20" fillId="0" borderId="0" xfId="7"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20" fillId="0" borderId="0" xfId="0" applyFont="1" applyAlignment="1">
      <alignment horizontal="left" vertical="center" indent="1"/>
    </xf>
    <xf numFmtId="0" fontId="24" fillId="0" borderId="0" xfId="0" applyFont="1" applyAlignment="1">
      <alignment horizontal="left" vertical="top" wrapText="1" indent="1"/>
    </xf>
    <xf numFmtId="0" fontId="0" fillId="0" borderId="0" xfId="0" applyAlignment="1">
      <alignment horizontal="left" vertical="top" wrapText="1" indent="1"/>
    </xf>
    <xf numFmtId="0" fontId="25" fillId="0" borderId="0" xfId="1" applyFont="1" applyAlignment="1" applyProtection="1">
      <alignment horizontal="left" vertical="top" indent="1"/>
    </xf>
    <xf numFmtId="0" fontId="1" fillId="0" borderId="0" xfId="0" applyFont="1" applyAlignment="1">
      <alignment horizontal="left" vertical="top" indent="1"/>
    </xf>
    <xf numFmtId="0" fontId="16" fillId="4"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4" borderId="16" xfId="0" applyFont="1" applyFill="1" applyBorder="1" applyAlignment="1">
      <alignment vertical="center"/>
    </xf>
    <xf numFmtId="0" fontId="4" fillId="2" borderId="21" xfId="0" applyFont="1" applyFill="1" applyBorder="1"/>
    <xf numFmtId="0" fontId="16" fillId="4" borderId="16" xfId="0" applyFont="1" applyFill="1" applyBorder="1" applyAlignment="1">
      <alignment horizontal="center" vertical="center"/>
    </xf>
    <xf numFmtId="0" fontId="21" fillId="0" borderId="0" xfId="0" applyFont="1" applyAlignment="1">
      <alignment horizontal="left"/>
    </xf>
    <xf numFmtId="0" fontId="22" fillId="0" borderId="0" xfId="0" applyFont="1"/>
    <xf numFmtId="165" fontId="21" fillId="0" borderId="0" xfId="9" applyFont="1" applyBorder="1" applyAlignment="1">
      <alignment horizontal="left"/>
    </xf>
    <xf numFmtId="0" fontId="20" fillId="0" borderId="0" xfId="8" applyFont="1" applyAlignment="1">
      <alignment horizontal="left"/>
    </xf>
    <xf numFmtId="0" fontId="4" fillId="0" borderId="0" xfId="0" applyFont="1"/>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166" fontId="15" fillId="2" borderId="18" xfId="0" applyNumberFormat="1" applyFont="1" applyFill="1" applyBorder="1" applyAlignment="1">
      <alignment horizontal="center" vertical="center" wrapText="1"/>
    </xf>
    <xf numFmtId="0" fontId="23" fillId="0" borderId="0" xfId="5" applyFont="1" applyAlignment="1">
      <alignment horizontal="center" vertical="top" wrapText="1"/>
    </xf>
    <xf numFmtId="0" fontId="15" fillId="6" borderId="6" xfId="11" applyFont="1" applyFill="1" applyBorder="1" applyAlignment="1">
      <alignment vertical="center"/>
    </xf>
    <xf numFmtId="9" fontId="1" fillId="6" borderId="6" xfId="2" applyFont="1" applyFill="1" applyBorder="1" applyAlignment="1">
      <alignment horizontal="center" vertical="center"/>
    </xf>
    <xf numFmtId="164" fontId="15" fillId="6" borderId="6" xfId="10" applyFont="1" applyFill="1" applyBorder="1">
      <alignment horizontal="center" vertical="center"/>
    </xf>
    <xf numFmtId="164" fontId="15" fillId="6" borderId="7" xfId="10" applyFont="1" applyFill="1" applyBorder="1">
      <alignment horizontal="center" vertical="center"/>
    </xf>
    <xf numFmtId="0" fontId="15" fillId="7" borderId="23" xfId="12" applyFont="1" applyFill="1" applyBorder="1" applyAlignment="1">
      <alignment horizontal="left" vertical="center" wrapText="1" indent="2"/>
    </xf>
    <xf numFmtId="0" fontId="15" fillId="7" borderId="8" xfId="11" applyFont="1" applyFill="1" applyBorder="1" applyAlignment="1">
      <alignment vertical="center"/>
    </xf>
    <xf numFmtId="9" fontId="1" fillId="7" borderId="8" xfId="2" applyFont="1" applyFill="1" applyBorder="1" applyAlignment="1">
      <alignment horizontal="center" vertical="center"/>
    </xf>
    <xf numFmtId="0" fontId="15" fillId="7" borderId="24" xfId="12" applyFont="1" applyFill="1" applyBorder="1" applyAlignment="1">
      <alignment horizontal="left" vertical="center" wrapText="1" indent="2"/>
    </xf>
    <xf numFmtId="0" fontId="15" fillId="7" borderId="25" xfId="11" applyFont="1" applyFill="1" applyBorder="1" applyAlignment="1">
      <alignment vertical="center"/>
    </xf>
    <xf numFmtId="9" fontId="1" fillId="7" borderId="25" xfId="2" applyFont="1" applyFill="1" applyBorder="1" applyAlignment="1">
      <alignment horizontal="center" vertical="center"/>
    </xf>
    <xf numFmtId="0" fontId="15" fillId="3" borderId="26" xfId="12" applyFont="1" applyFill="1" applyBorder="1" applyAlignment="1">
      <alignment horizontal="left" vertical="center" wrapText="1" indent="2"/>
    </xf>
    <xf numFmtId="0" fontId="15" fillId="3" borderId="27" xfId="12" applyFont="1" applyFill="1" applyBorder="1" applyAlignment="1">
      <alignment horizontal="left" vertical="center" wrapText="1" indent="2"/>
    </xf>
    <xf numFmtId="0" fontId="15" fillId="3" borderId="28" xfId="11" applyFont="1" applyFill="1" applyBorder="1" applyAlignment="1">
      <alignment vertical="center"/>
    </xf>
    <xf numFmtId="9" fontId="1" fillId="3" borderId="28" xfId="2" applyFont="1" applyFill="1" applyBorder="1" applyAlignment="1">
      <alignment horizontal="center" vertical="center"/>
    </xf>
    <xf numFmtId="0" fontId="15" fillId="6" borderId="29" xfId="12" applyFont="1" applyFill="1" applyBorder="1" applyAlignment="1">
      <alignment horizontal="left" vertical="center" wrapText="1" indent="2"/>
    </xf>
    <xf numFmtId="164" fontId="15" fillId="6" borderId="30" xfId="10" applyFont="1" applyFill="1" applyBorder="1">
      <alignment horizontal="center" vertical="center"/>
    </xf>
    <xf numFmtId="0" fontId="15" fillId="6" borderId="31" xfId="12" applyFont="1" applyFill="1" applyBorder="1" applyAlignment="1">
      <alignment horizontal="left" vertical="center" wrapText="1" indent="2"/>
    </xf>
    <xf numFmtId="164" fontId="15" fillId="6" borderId="32" xfId="10" applyFont="1" applyFill="1" applyBorder="1">
      <alignment horizontal="center" vertical="center"/>
    </xf>
    <xf numFmtId="0" fontId="15" fillId="6" borderId="33" xfId="12" applyFont="1" applyFill="1" applyBorder="1" applyAlignment="1">
      <alignment horizontal="left" vertical="center" wrapText="1" indent="2"/>
    </xf>
    <xf numFmtId="0" fontId="15" fillId="6" borderId="34" xfId="11" applyFont="1" applyFill="1" applyBorder="1" applyAlignment="1">
      <alignment vertical="center"/>
    </xf>
    <xf numFmtId="9" fontId="1" fillId="6" borderId="34" xfId="2" applyFont="1" applyFill="1" applyBorder="1" applyAlignment="1">
      <alignment horizontal="center" vertical="center"/>
    </xf>
    <xf numFmtId="164" fontId="15" fillId="6" borderId="35" xfId="10" applyFont="1" applyFill="1" applyBorder="1">
      <alignment horizontal="center" vertical="center"/>
    </xf>
    <xf numFmtId="0" fontId="15" fillId="8" borderId="9" xfId="11" applyFont="1" applyFill="1" applyBorder="1" applyAlignment="1">
      <alignment vertical="center"/>
    </xf>
    <xf numFmtId="9" fontId="1" fillId="8" borderId="9" xfId="2" applyFont="1" applyFill="1" applyBorder="1" applyAlignment="1">
      <alignment horizontal="center" vertical="center"/>
    </xf>
    <xf numFmtId="0" fontId="15" fillId="8" borderId="36" xfId="12" applyFont="1" applyFill="1" applyBorder="1" applyAlignment="1">
      <alignment horizontal="left" vertical="center" wrapText="1" indent="2"/>
    </xf>
    <xf numFmtId="0" fontId="15" fillId="8" borderId="37" xfId="12" applyFont="1" applyFill="1" applyBorder="1" applyAlignment="1">
      <alignment horizontal="left" vertical="center" wrapText="1" indent="2"/>
    </xf>
    <xf numFmtId="0" fontId="15" fillId="8" borderId="38" xfId="11" applyFont="1" applyFill="1" applyBorder="1" applyAlignment="1">
      <alignment vertical="center"/>
    </xf>
    <xf numFmtId="9" fontId="1" fillId="8" borderId="38" xfId="2" applyFont="1" applyFill="1" applyBorder="1" applyAlignment="1">
      <alignment horizontal="center" vertical="center"/>
    </xf>
    <xf numFmtId="0" fontId="15" fillId="9" borderId="9" xfId="11" applyFont="1" applyFill="1" applyBorder="1" applyAlignment="1">
      <alignment vertical="center"/>
    </xf>
    <xf numFmtId="9" fontId="1" fillId="9" borderId="9" xfId="2" applyFont="1" applyFill="1" applyBorder="1" applyAlignment="1">
      <alignment horizontal="center" vertical="center"/>
    </xf>
    <xf numFmtId="0" fontId="15" fillId="9" borderId="36" xfId="12" applyFont="1" applyFill="1" applyBorder="1" applyAlignment="1">
      <alignment horizontal="left" vertical="center" wrapText="1" indent="2"/>
    </xf>
    <xf numFmtId="0" fontId="15" fillId="9" borderId="37" xfId="12" applyFont="1" applyFill="1" applyBorder="1" applyAlignment="1">
      <alignment horizontal="left" vertical="center" wrapText="1" indent="2"/>
    </xf>
    <xf numFmtId="0" fontId="15" fillId="9" borderId="38" xfId="11" applyFont="1" applyFill="1" applyBorder="1" applyAlignment="1">
      <alignment vertical="center"/>
    </xf>
    <xf numFmtId="9" fontId="1" fillId="9" borderId="38" xfId="2" applyFont="1" applyFill="1" applyBorder="1" applyAlignment="1">
      <alignment horizontal="center" vertical="center"/>
    </xf>
    <xf numFmtId="0" fontId="15" fillId="10" borderId="9" xfId="12" applyFont="1" applyFill="1" applyBorder="1" applyAlignment="1">
      <alignment horizontal="left" vertical="center" wrapText="1"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15" fillId="11" borderId="9" xfId="11" applyFont="1" applyFill="1" applyBorder="1" applyAlignment="1">
      <alignment vertical="center"/>
    </xf>
    <xf numFmtId="9" fontId="1" fillId="11" borderId="9" xfId="2" applyFont="1" applyFill="1" applyBorder="1" applyAlignment="1">
      <alignment horizontal="center" vertical="center"/>
    </xf>
    <xf numFmtId="0" fontId="15" fillId="12" borderId="9" xfId="11" applyFont="1" applyFill="1" applyBorder="1" applyAlignment="1">
      <alignment vertical="center"/>
    </xf>
    <xf numFmtId="9" fontId="1" fillId="12" borderId="9" xfId="2" applyFont="1" applyFill="1" applyBorder="1" applyAlignment="1">
      <alignment horizontal="center" vertical="center"/>
    </xf>
    <xf numFmtId="0" fontId="15" fillId="12" borderId="36" xfId="12" applyFont="1" applyFill="1" applyBorder="1" applyAlignment="1">
      <alignment horizontal="left" vertical="center" wrapText="1" indent="2"/>
    </xf>
    <xf numFmtId="0" fontId="15" fillId="12" borderId="37" xfId="12" applyFont="1" applyFill="1" applyBorder="1" applyAlignment="1">
      <alignment horizontal="left" vertical="center" wrapText="1" indent="2"/>
    </xf>
    <xf numFmtId="0" fontId="15" fillId="12" borderId="38" xfId="11" applyFont="1" applyFill="1" applyBorder="1" applyAlignment="1">
      <alignment vertical="center"/>
    </xf>
    <xf numFmtId="9" fontId="1" fillId="12" borderId="38" xfId="2" applyFont="1" applyFill="1" applyBorder="1" applyAlignment="1">
      <alignment horizontal="center" vertical="center"/>
    </xf>
    <xf numFmtId="164" fontId="15" fillId="12" borderId="38" xfId="10" applyFont="1" applyFill="1" applyBorder="1">
      <alignment horizontal="center" vertical="center"/>
    </xf>
    <xf numFmtId="164" fontId="15" fillId="12" borderId="39" xfId="10" applyFont="1" applyFill="1" applyBorder="1">
      <alignment horizontal="center" vertical="center"/>
    </xf>
    <xf numFmtId="0" fontId="15" fillId="10" borderId="40" xfId="12" applyFont="1" applyFill="1" applyBorder="1" applyAlignment="1">
      <alignment horizontal="left" vertical="center" wrapText="1" indent="2"/>
    </xf>
    <xf numFmtId="0" fontId="15" fillId="10" borderId="40" xfId="11" applyFont="1" applyFill="1" applyBorder="1" applyAlignment="1">
      <alignment vertical="center"/>
    </xf>
    <xf numFmtId="9" fontId="1" fillId="10" borderId="40" xfId="2" applyFont="1" applyFill="1" applyBorder="1" applyAlignment="1">
      <alignment horizontal="center" vertical="center"/>
    </xf>
    <xf numFmtId="0" fontId="15" fillId="11" borderId="36" xfId="12" applyFont="1" applyFill="1" applyBorder="1" applyAlignment="1">
      <alignment horizontal="left" vertical="center" wrapText="1" indent="2"/>
    </xf>
    <xf numFmtId="0" fontId="15" fillId="11" borderId="37" xfId="12" applyFont="1" applyFill="1" applyBorder="1" applyAlignment="1">
      <alignment horizontal="left" vertical="center" wrapText="1" indent="2"/>
    </xf>
    <xf numFmtId="0" fontId="15" fillId="11" borderId="38" xfId="11" applyFont="1" applyFill="1" applyBorder="1" applyAlignment="1">
      <alignment vertical="center"/>
    </xf>
    <xf numFmtId="9" fontId="1" fillId="11" borderId="38" xfId="2" applyFont="1" applyFill="1" applyBorder="1" applyAlignment="1">
      <alignment horizontal="center" vertical="center"/>
    </xf>
    <xf numFmtId="0" fontId="19" fillId="6" borderId="41" xfId="0" applyFont="1" applyFill="1" applyBorder="1" applyAlignment="1">
      <alignment horizontal="center" vertical="center" wrapText="1"/>
    </xf>
    <xf numFmtId="0" fontId="19" fillId="6" borderId="42" xfId="0" applyFont="1" applyFill="1" applyBorder="1" applyAlignment="1">
      <alignment horizontal="center" vertical="center" wrapText="1"/>
    </xf>
    <xf numFmtId="0" fontId="19" fillId="6" borderId="43" xfId="0" applyFont="1" applyFill="1" applyBorder="1" applyAlignment="1">
      <alignment horizontal="center" vertical="center" wrapText="1"/>
    </xf>
    <xf numFmtId="0" fontId="15" fillId="3" borderId="44" xfId="12" applyFont="1" applyFill="1" applyBorder="1" applyAlignment="1">
      <alignment horizontal="left" vertical="center" wrapText="1" indent="2"/>
    </xf>
    <xf numFmtId="0" fontId="15" fillId="3" borderId="45" xfId="11" applyFont="1" applyFill="1" applyBorder="1" applyAlignment="1">
      <alignment vertical="center"/>
    </xf>
    <xf numFmtId="9" fontId="1" fillId="3" borderId="45" xfId="2" applyFont="1" applyFill="1" applyBorder="1" applyAlignment="1">
      <alignment horizontal="center" vertical="center"/>
    </xf>
    <xf numFmtId="164" fontId="15" fillId="3" borderId="45" xfId="10" applyFont="1" applyFill="1" applyBorder="1">
      <alignment horizontal="center" vertical="center"/>
    </xf>
    <xf numFmtId="0" fontId="19" fillId="3" borderId="41" xfId="0" applyFont="1" applyFill="1" applyBorder="1" applyAlignment="1">
      <alignment horizontal="center" vertical="center" wrapText="1"/>
    </xf>
    <xf numFmtId="0" fontId="19" fillId="3" borderId="42" xfId="0" applyFont="1" applyFill="1" applyBorder="1" applyAlignment="1">
      <alignment horizontal="center" vertical="center" wrapText="1"/>
    </xf>
    <xf numFmtId="0" fontId="19" fillId="3" borderId="43" xfId="0" applyFont="1" applyFill="1" applyBorder="1" applyAlignment="1">
      <alignment horizontal="center" vertical="center" wrapText="1"/>
    </xf>
    <xf numFmtId="0" fontId="15" fillId="7" borderId="46" xfId="12" applyFont="1" applyFill="1" applyBorder="1" applyAlignment="1">
      <alignment horizontal="left" vertical="center" wrapText="1" indent="2"/>
    </xf>
    <xf numFmtId="0" fontId="15" fillId="7" borderId="47" xfId="11" applyFont="1" applyFill="1" applyBorder="1" applyAlignment="1">
      <alignment vertical="center"/>
    </xf>
    <xf numFmtId="9" fontId="1" fillId="7" borderId="47" xfId="2" applyFont="1" applyFill="1" applyBorder="1" applyAlignment="1">
      <alignment horizontal="center" vertical="center"/>
    </xf>
    <xf numFmtId="164" fontId="15" fillId="7" borderId="47" xfId="10" applyFont="1" applyFill="1" applyBorder="1">
      <alignment horizontal="center" vertical="center"/>
    </xf>
    <xf numFmtId="0" fontId="19" fillId="7" borderId="41" xfId="0" applyFont="1" applyFill="1" applyBorder="1" applyAlignment="1">
      <alignment horizontal="center" vertical="center" wrapText="1"/>
    </xf>
    <xf numFmtId="0" fontId="19" fillId="7" borderId="42" xfId="0" applyFont="1" applyFill="1" applyBorder="1" applyAlignment="1">
      <alignment horizontal="center" vertical="center" wrapText="1"/>
    </xf>
    <xf numFmtId="0" fontId="19" fillId="7" borderId="43" xfId="0" applyFont="1" applyFill="1" applyBorder="1" applyAlignment="1">
      <alignment horizontal="center" vertical="center" wrapText="1"/>
    </xf>
    <xf numFmtId="0" fontId="15" fillId="8" borderId="48" xfId="12" applyFont="1" applyFill="1" applyBorder="1" applyAlignment="1">
      <alignment horizontal="left" vertical="center" wrapText="1" indent="2"/>
    </xf>
    <xf numFmtId="0" fontId="15" fillId="8" borderId="22" xfId="11" applyFont="1" applyFill="1" applyBorder="1" applyAlignment="1">
      <alignment vertical="center"/>
    </xf>
    <xf numFmtId="9" fontId="1" fillId="8" borderId="22" xfId="2" applyFont="1" applyFill="1" applyBorder="1" applyAlignment="1">
      <alignment horizontal="center" vertical="center"/>
    </xf>
    <xf numFmtId="164" fontId="15" fillId="8" borderId="22" xfId="10" applyFont="1" applyFill="1" applyBorder="1">
      <alignment horizontal="center" vertical="center"/>
    </xf>
    <xf numFmtId="0" fontId="19" fillId="8" borderId="41" xfId="0" applyFont="1" applyFill="1" applyBorder="1" applyAlignment="1">
      <alignment horizontal="center" vertical="center" wrapText="1"/>
    </xf>
    <xf numFmtId="0" fontId="19" fillId="8" borderId="42" xfId="0" applyFont="1" applyFill="1" applyBorder="1" applyAlignment="1">
      <alignment horizontal="center" vertical="center" wrapText="1"/>
    </xf>
    <xf numFmtId="0" fontId="19" fillId="8" borderId="43" xfId="0" applyFont="1" applyFill="1" applyBorder="1" applyAlignment="1">
      <alignment horizontal="center" vertical="center" wrapText="1"/>
    </xf>
    <xf numFmtId="0" fontId="15" fillId="9" borderId="48" xfId="12" applyFont="1" applyFill="1" applyBorder="1" applyAlignment="1">
      <alignment horizontal="left" vertical="center" wrapText="1" indent="2"/>
    </xf>
    <xf numFmtId="0" fontId="15" fillId="9" borderId="22" xfId="11" applyFont="1" applyFill="1" applyBorder="1" applyAlignment="1">
      <alignment vertical="center"/>
    </xf>
    <xf numFmtId="9" fontId="1" fillId="9" borderId="22" xfId="2" applyFont="1" applyFill="1" applyBorder="1" applyAlignment="1">
      <alignment horizontal="center" vertical="center"/>
    </xf>
    <xf numFmtId="164" fontId="15" fillId="9" borderId="22" xfId="10" applyFont="1" applyFill="1" applyBorder="1">
      <alignment horizontal="center" vertical="center"/>
    </xf>
    <xf numFmtId="164" fontId="15" fillId="9" borderId="49" xfId="10" applyFont="1" applyFill="1" applyBorder="1">
      <alignment horizontal="center" vertical="center"/>
    </xf>
    <xf numFmtId="0" fontId="19" fillId="9" borderId="41" xfId="0" applyFont="1" applyFill="1" applyBorder="1" applyAlignment="1">
      <alignment horizontal="center" vertical="center" wrapText="1"/>
    </xf>
    <xf numFmtId="0" fontId="19" fillId="9" borderId="42" xfId="0" applyFont="1" applyFill="1" applyBorder="1" applyAlignment="1">
      <alignment horizontal="center" vertical="center" wrapText="1"/>
    </xf>
    <xf numFmtId="0" fontId="19" fillId="9" borderId="43" xfId="0" applyFont="1" applyFill="1" applyBorder="1" applyAlignment="1">
      <alignment horizontal="center" vertical="center" wrapText="1"/>
    </xf>
    <xf numFmtId="0" fontId="15" fillId="10" borderId="22" xfId="12" applyFont="1" applyFill="1" applyBorder="1" applyAlignment="1">
      <alignment horizontal="left" vertical="center" wrapText="1" indent="2"/>
    </xf>
    <xf numFmtId="0" fontId="15" fillId="10" borderId="22" xfId="11" applyFont="1" applyFill="1" applyBorder="1" applyAlignment="1">
      <alignment vertical="center"/>
    </xf>
    <xf numFmtId="9" fontId="1" fillId="10" borderId="22" xfId="2" applyFont="1" applyFill="1" applyBorder="1" applyAlignment="1">
      <alignment horizontal="center" vertical="center"/>
    </xf>
    <xf numFmtId="164" fontId="15" fillId="10" borderId="22" xfId="10" applyFont="1" applyFill="1" applyBorder="1">
      <alignment horizontal="center" vertical="center"/>
    </xf>
    <xf numFmtId="0" fontId="19" fillId="10" borderId="41" xfId="0" applyFont="1" applyFill="1" applyBorder="1" applyAlignment="1">
      <alignment horizontal="center" vertical="center" wrapText="1"/>
    </xf>
    <xf numFmtId="0" fontId="19" fillId="10" borderId="42" xfId="0" applyFont="1" applyFill="1" applyBorder="1" applyAlignment="1">
      <alignment horizontal="center" vertical="center" wrapText="1"/>
    </xf>
    <xf numFmtId="0" fontId="19" fillId="10" borderId="43" xfId="0" applyFont="1" applyFill="1" applyBorder="1" applyAlignment="1">
      <alignment horizontal="center" vertical="center" wrapText="1"/>
    </xf>
    <xf numFmtId="0" fontId="15" fillId="13" borderId="50" xfId="12" applyFont="1" applyFill="1" applyBorder="1" applyAlignment="1">
      <alignment horizontal="left" vertical="center" wrapText="1" indent="2"/>
    </xf>
    <xf numFmtId="0" fontId="15" fillId="13" borderId="34" xfId="11" applyFont="1" applyFill="1" applyBorder="1" applyAlignment="1">
      <alignment vertical="center"/>
    </xf>
    <xf numFmtId="9" fontId="1" fillId="13" borderId="34" xfId="2" applyFont="1" applyFill="1" applyBorder="1" applyAlignment="1">
      <alignment horizontal="center" vertical="center"/>
    </xf>
    <xf numFmtId="164" fontId="15" fillId="13" borderId="34" xfId="10" applyFont="1" applyFill="1" applyBorder="1">
      <alignment horizontal="center" vertical="center"/>
    </xf>
    <xf numFmtId="164" fontId="15" fillId="13" borderId="51" xfId="10" applyFont="1" applyFill="1" applyBorder="1">
      <alignment horizontal="center" vertical="center"/>
    </xf>
    <xf numFmtId="0" fontId="19" fillId="13" borderId="41" xfId="0" applyFont="1" applyFill="1" applyBorder="1" applyAlignment="1">
      <alignment horizontal="center" vertical="center" wrapText="1"/>
    </xf>
    <xf numFmtId="0" fontId="19" fillId="13" borderId="42" xfId="0" applyFont="1" applyFill="1" applyBorder="1" applyAlignment="1">
      <alignment horizontal="center" vertical="center" wrapText="1"/>
    </xf>
    <xf numFmtId="0" fontId="19" fillId="13" borderId="43" xfId="0" applyFont="1" applyFill="1" applyBorder="1" applyAlignment="1">
      <alignment horizontal="center" vertical="center" wrapText="1"/>
    </xf>
    <xf numFmtId="0" fontId="15" fillId="11" borderId="48" xfId="12" applyFont="1" applyFill="1" applyBorder="1" applyAlignment="1">
      <alignment horizontal="left" vertical="center" wrapText="1" indent="2"/>
    </xf>
    <xf numFmtId="0" fontId="15" fillId="11" borderId="22" xfId="11" applyFont="1" applyFill="1" applyBorder="1" applyAlignment="1">
      <alignment vertical="center"/>
    </xf>
    <xf numFmtId="9" fontId="1" fillId="11" borderId="22" xfId="2" applyFont="1" applyFill="1" applyBorder="1" applyAlignment="1">
      <alignment horizontal="center" vertical="center"/>
    </xf>
    <xf numFmtId="164" fontId="15" fillId="11" borderId="22" xfId="10" applyFont="1" applyFill="1" applyBorder="1">
      <alignment horizontal="center" vertical="center"/>
    </xf>
    <xf numFmtId="0" fontId="19" fillId="11" borderId="41" xfId="0" applyFont="1" applyFill="1" applyBorder="1" applyAlignment="1">
      <alignment horizontal="center" vertical="center" wrapText="1"/>
    </xf>
    <xf numFmtId="0" fontId="19" fillId="11" borderId="42" xfId="0" applyFont="1" applyFill="1" applyBorder="1" applyAlignment="1">
      <alignment horizontal="center" vertical="center" wrapText="1"/>
    </xf>
    <xf numFmtId="0" fontId="19" fillId="11" borderId="43" xfId="0" applyFont="1" applyFill="1" applyBorder="1" applyAlignment="1">
      <alignment horizontal="center" vertical="center" wrapText="1"/>
    </xf>
    <xf numFmtId="0" fontId="15" fillId="11" borderId="52" xfId="12" applyFont="1" applyFill="1" applyBorder="1" applyAlignment="1">
      <alignment horizontal="left" vertical="center" wrapText="1" indent="2"/>
    </xf>
    <xf numFmtId="0" fontId="15" fillId="11" borderId="0" xfId="11" applyFont="1" applyFill="1" applyBorder="1" applyAlignment="1">
      <alignment vertical="center"/>
    </xf>
    <xf numFmtId="9" fontId="1" fillId="11" borderId="0" xfId="2" applyFont="1" applyFill="1" applyBorder="1" applyAlignment="1">
      <alignment horizontal="center" vertical="center"/>
    </xf>
    <xf numFmtId="164" fontId="15" fillId="11" borderId="0" xfId="10" applyFont="1" applyFill="1" applyBorder="1">
      <alignment horizontal="center" vertical="center"/>
    </xf>
    <xf numFmtId="0" fontId="15" fillId="12" borderId="48" xfId="12" applyFont="1" applyFill="1" applyBorder="1" applyAlignment="1">
      <alignment horizontal="left" vertical="center" wrapText="1" indent="2"/>
    </xf>
    <xf numFmtId="0" fontId="15" fillId="12" borderId="22" xfId="11" applyFont="1" applyFill="1" applyBorder="1" applyAlignment="1">
      <alignment vertical="center"/>
    </xf>
    <xf numFmtId="9" fontId="1" fillId="12" borderId="22" xfId="2" applyFont="1" applyFill="1" applyBorder="1" applyAlignment="1">
      <alignment horizontal="center" vertical="center"/>
    </xf>
    <xf numFmtId="164" fontId="15" fillId="12" borderId="22" xfId="10" applyFont="1" applyFill="1" applyBorder="1">
      <alignment horizontal="center" vertical="center"/>
    </xf>
    <xf numFmtId="0" fontId="19" fillId="12" borderId="41" xfId="0" applyFont="1" applyFill="1" applyBorder="1" applyAlignment="1">
      <alignment horizontal="center" vertical="center" wrapText="1"/>
    </xf>
    <xf numFmtId="0" fontId="19" fillId="12" borderId="42" xfId="0" applyFont="1" applyFill="1" applyBorder="1" applyAlignment="1">
      <alignment horizontal="center" vertical="center" wrapText="1"/>
    </xf>
    <xf numFmtId="0" fontId="19" fillId="12" borderId="43" xfId="0" applyFont="1" applyFill="1" applyBorder="1" applyAlignment="1">
      <alignment horizontal="center" vertical="center" wrapText="1"/>
    </xf>
    <xf numFmtId="0" fontId="26" fillId="0" borderId="0" xfId="3" applyFont="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99">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98"/>
      <tableStyleElement type="headerRow" dxfId="97"/>
      <tableStyleElement type="totalRow" dxfId="96"/>
      <tableStyleElement type="firstColumn" dxfId="95"/>
      <tableStyleElement type="lastColumn" dxfId="94"/>
      <tableStyleElement type="firstRowStripe" dxfId="93"/>
      <tableStyleElement type="secondRowStripe" dxfId="92"/>
      <tableStyleElement type="firstColumnStripe" dxfId="91"/>
      <tableStyleElement type="secondColumnStripe" dxfId="9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8"/>
  <sheetViews>
    <sheetView showGridLines="0" tabSelected="1" showRuler="0" zoomScale="58" zoomScaleNormal="100" zoomScalePageLayoutView="70" workbookViewId="0">
      <selection activeCell="A5" sqref="A5:A6"/>
    </sheetView>
  </sheetViews>
  <sheetFormatPr defaultColWidth="8.69921875" defaultRowHeight="13.8" x14ac:dyDescent="0.25"/>
  <cols>
    <col min="1" max="1" width="13.59765625" style="10" customWidth="1"/>
    <col min="2" max="2" width="57.5" bestFit="1" customWidth="1"/>
    <col min="3" max="3" width="15.09765625" bestFit="1" customWidth="1"/>
    <col min="4" max="4" width="12.69921875" bestFit="1" customWidth="1"/>
    <col min="5" max="5" width="8" style="2" bestFit="1" customWidth="1"/>
    <col min="6" max="6" width="7.296875" bestFit="1" customWidth="1"/>
    <col min="7" max="7" width="4.09765625" customWidth="1"/>
    <col min="8" max="8" width="0.296875" hidden="1" customWidth="1"/>
    <col min="9" max="10" width="3.5" bestFit="1" customWidth="1"/>
    <col min="11" max="11" width="3.3984375" bestFit="1" customWidth="1"/>
    <col min="12" max="12" width="3.5" bestFit="1" customWidth="1"/>
    <col min="13" max="13" width="3.3984375" bestFit="1" customWidth="1"/>
    <col min="14" max="14" width="3.5" bestFit="1" customWidth="1"/>
    <col min="15" max="15" width="2.5" bestFit="1" customWidth="1"/>
    <col min="16" max="16" width="3" bestFit="1" customWidth="1"/>
    <col min="17" max="17" width="2.5" bestFit="1" customWidth="1"/>
    <col min="18" max="18" width="3" bestFit="1" customWidth="1"/>
    <col min="19" max="19" width="2.5" bestFit="1" customWidth="1"/>
    <col min="20" max="22" width="2.69921875" customWidth="1"/>
    <col min="23" max="23" width="3" bestFit="1" customWidth="1"/>
    <col min="24" max="24" width="3.19921875" bestFit="1" customWidth="1"/>
    <col min="25" max="25" width="3" bestFit="1" customWidth="1"/>
    <col min="26" max="28" width="3.19921875" bestFit="1" customWidth="1"/>
    <col min="29" max="29" width="3" bestFit="1" customWidth="1"/>
    <col min="30" max="30" width="3.19921875" bestFit="1" customWidth="1"/>
    <col min="31" max="31" width="3" bestFit="1" customWidth="1"/>
    <col min="32" max="33" width="3.19921875" bestFit="1" customWidth="1"/>
    <col min="34" max="34" width="3.5" bestFit="1" customWidth="1"/>
    <col min="35" max="35" width="3.19921875" bestFit="1" customWidth="1"/>
    <col min="36" max="38" width="3.5" bestFit="1" customWidth="1"/>
    <col min="39" max="39" width="3.3984375" bestFit="1" customWidth="1"/>
    <col min="40" max="40" width="3.5" bestFit="1" customWidth="1"/>
    <col min="41" max="44" width="8.8984375" bestFit="1" customWidth="1"/>
    <col min="45" max="45" width="5.796875" bestFit="1" customWidth="1"/>
    <col min="46" max="46" width="3" bestFit="1" customWidth="1"/>
    <col min="47" max="50" width="2.5" bestFit="1" customWidth="1"/>
    <col min="51" max="51" width="3" bestFit="1" customWidth="1"/>
    <col min="52" max="52" width="2.5" bestFit="1" customWidth="1"/>
    <col min="53" max="53" width="3" bestFit="1" customWidth="1"/>
    <col min="54" max="54" width="2.5" bestFit="1" customWidth="1"/>
    <col min="55" max="55" width="3.19921875" bestFit="1" customWidth="1"/>
    <col min="56" max="56" width="2.8984375" bestFit="1" customWidth="1"/>
    <col min="57" max="59" width="3.19921875" bestFit="1" customWidth="1"/>
    <col min="60" max="60" width="3" bestFit="1" customWidth="1"/>
    <col min="61" max="61" width="3.19921875" bestFit="1" customWidth="1"/>
    <col min="62" max="62" width="3" bestFit="1" customWidth="1"/>
    <col min="63" max="64" width="3.19921875" bestFit="1" customWidth="1"/>
    <col min="65" max="65" width="2.69921875" customWidth="1"/>
  </cols>
  <sheetData>
    <row r="1" spans="1:64" ht="61.8" x14ac:dyDescent="0.6">
      <c r="A1" s="11"/>
      <c r="B1" s="62" t="s">
        <v>23</v>
      </c>
      <c r="C1" s="62"/>
      <c r="D1" s="62"/>
      <c r="E1" s="62"/>
      <c r="F1" s="62"/>
      <c r="H1" s="1"/>
      <c r="I1" s="57" t="s">
        <v>20</v>
      </c>
      <c r="J1" s="58"/>
      <c r="K1" s="58"/>
      <c r="L1" s="58"/>
      <c r="M1" s="58"/>
      <c r="N1" s="58"/>
      <c r="O1" s="58"/>
      <c r="P1" s="15"/>
      <c r="Q1" s="56">
        <v>46078</v>
      </c>
      <c r="R1" s="55"/>
      <c r="S1" s="55"/>
      <c r="T1" s="55"/>
      <c r="U1" s="55"/>
      <c r="V1" s="55"/>
      <c r="W1" s="55"/>
      <c r="X1" s="55"/>
      <c r="Y1" s="55"/>
      <c r="Z1" s="55"/>
    </row>
    <row r="2" spans="1:64" ht="25.2" x14ac:dyDescent="0.6">
      <c r="B2" s="40" t="s">
        <v>24</v>
      </c>
      <c r="C2" s="41"/>
      <c r="D2" s="13"/>
      <c r="E2" s="14"/>
      <c r="F2" s="13"/>
      <c r="I2" s="57" t="s">
        <v>21</v>
      </c>
      <c r="J2" s="58"/>
      <c r="K2" s="58"/>
      <c r="L2" s="58"/>
      <c r="M2" s="58"/>
      <c r="N2" s="58"/>
      <c r="O2" s="58"/>
      <c r="P2" s="15"/>
      <c r="Q2" s="54">
        <v>1</v>
      </c>
      <c r="R2" s="55"/>
      <c r="S2" s="55"/>
      <c r="T2" s="55"/>
      <c r="U2" s="55"/>
      <c r="V2" s="55"/>
      <c r="W2" s="55"/>
      <c r="X2" s="55"/>
      <c r="Y2" s="55"/>
      <c r="Z2" s="55"/>
    </row>
    <row r="3" spans="1:64" s="17" customFormat="1" x14ac:dyDescent="0.25">
      <c r="A3" s="10"/>
      <c r="B3" s="16" t="s">
        <v>7</v>
      </c>
      <c r="D3" s="18"/>
      <c r="E3" s="19"/>
    </row>
    <row r="4" spans="1:64" s="17" customFormat="1" x14ac:dyDescent="0.25">
      <c r="A4" s="11"/>
      <c r="B4" s="20" t="s">
        <v>12</v>
      </c>
      <c r="E4" s="21"/>
      <c r="I4" s="61">
        <f>I5</f>
        <v>46076</v>
      </c>
      <c r="J4" s="59"/>
      <c r="K4" s="59"/>
      <c r="L4" s="59"/>
      <c r="M4" s="59"/>
      <c r="N4" s="59"/>
      <c r="O4" s="59"/>
      <c r="P4" s="59">
        <f>P5</f>
        <v>46083</v>
      </c>
      <c r="Q4" s="59"/>
      <c r="R4" s="59"/>
      <c r="S4" s="59"/>
      <c r="T4" s="59"/>
      <c r="U4" s="59"/>
      <c r="V4" s="59"/>
      <c r="W4" s="59">
        <f>W5</f>
        <v>46090</v>
      </c>
      <c r="X4" s="59"/>
      <c r="Y4" s="59"/>
      <c r="Z4" s="59"/>
      <c r="AA4" s="59"/>
      <c r="AB4" s="59"/>
      <c r="AC4" s="59"/>
      <c r="AD4" s="59">
        <f>AD5</f>
        <v>46097</v>
      </c>
      <c r="AE4" s="59"/>
      <c r="AF4" s="59"/>
      <c r="AG4" s="59"/>
      <c r="AH4" s="59"/>
      <c r="AI4" s="59"/>
      <c r="AJ4" s="59"/>
      <c r="AK4" s="59">
        <f>AK5</f>
        <v>46104</v>
      </c>
      <c r="AL4" s="59"/>
      <c r="AM4" s="59"/>
      <c r="AN4" s="59"/>
      <c r="AO4" s="59"/>
      <c r="AP4" s="59"/>
      <c r="AQ4" s="59"/>
      <c r="AR4" s="59">
        <f>AR5</f>
        <v>46111</v>
      </c>
      <c r="AS4" s="59"/>
      <c r="AT4" s="59"/>
      <c r="AU4" s="59"/>
      <c r="AV4" s="59"/>
      <c r="AW4" s="59"/>
      <c r="AX4" s="59"/>
      <c r="AY4" s="59">
        <f>AY5</f>
        <v>46118</v>
      </c>
      <c r="AZ4" s="59"/>
      <c r="BA4" s="59"/>
      <c r="BB4" s="59"/>
      <c r="BC4" s="59"/>
      <c r="BD4" s="59"/>
      <c r="BE4" s="59"/>
      <c r="BF4" s="59">
        <f>BF5</f>
        <v>46125</v>
      </c>
      <c r="BG4" s="59"/>
      <c r="BH4" s="59"/>
      <c r="BI4" s="59"/>
      <c r="BJ4" s="59"/>
      <c r="BK4" s="59"/>
      <c r="BL4" s="60"/>
    </row>
    <row r="5" spans="1:64" s="17" customFormat="1" x14ac:dyDescent="0.25">
      <c r="A5" s="49" t="s">
        <v>68</v>
      </c>
      <c r="B5" s="49" t="s">
        <v>4</v>
      </c>
      <c r="C5" s="51" t="s">
        <v>22</v>
      </c>
      <c r="D5" s="53" t="s">
        <v>0</v>
      </c>
      <c r="E5" s="53" t="s">
        <v>2</v>
      </c>
      <c r="F5" s="53" t="s">
        <v>3</v>
      </c>
      <c r="I5" s="22">
        <f>Project_Start-WEEKDAY(Project_Start,1)+2+7*(Display_Week-1)</f>
        <v>46076</v>
      </c>
      <c r="J5" s="22">
        <f>I5+1</f>
        <v>46077</v>
      </c>
      <c r="K5" s="22">
        <f t="shared" ref="K5:AX5" si="0">J5+1</f>
        <v>46078</v>
      </c>
      <c r="L5" s="22">
        <f t="shared" si="0"/>
        <v>46079</v>
      </c>
      <c r="M5" s="22">
        <f t="shared" si="0"/>
        <v>46080</v>
      </c>
      <c r="N5" s="22">
        <f t="shared" si="0"/>
        <v>46081</v>
      </c>
      <c r="O5" s="23">
        <f t="shared" si="0"/>
        <v>46082</v>
      </c>
      <c r="P5" s="24">
        <f>O5+1</f>
        <v>46083</v>
      </c>
      <c r="Q5" s="22">
        <f>P5+1</f>
        <v>46084</v>
      </c>
      <c r="R5" s="22">
        <f t="shared" si="0"/>
        <v>46085</v>
      </c>
      <c r="S5" s="22">
        <f t="shared" si="0"/>
        <v>46086</v>
      </c>
      <c r="T5" s="22">
        <f t="shared" si="0"/>
        <v>46087</v>
      </c>
      <c r="U5" s="22">
        <f t="shared" si="0"/>
        <v>46088</v>
      </c>
      <c r="V5" s="23">
        <f t="shared" si="0"/>
        <v>46089</v>
      </c>
      <c r="W5" s="24">
        <f>V5+1</f>
        <v>46090</v>
      </c>
      <c r="X5" s="22">
        <f>W5+1</f>
        <v>46091</v>
      </c>
      <c r="Y5" s="22">
        <f t="shared" si="0"/>
        <v>46092</v>
      </c>
      <c r="Z5" s="22">
        <f t="shared" si="0"/>
        <v>46093</v>
      </c>
      <c r="AA5" s="22">
        <f t="shared" si="0"/>
        <v>46094</v>
      </c>
      <c r="AB5" s="22">
        <f t="shared" si="0"/>
        <v>46095</v>
      </c>
      <c r="AC5" s="23">
        <f t="shared" si="0"/>
        <v>46096</v>
      </c>
      <c r="AD5" s="24">
        <f>AC5+1</f>
        <v>46097</v>
      </c>
      <c r="AE5" s="22">
        <f>AD5+1</f>
        <v>46098</v>
      </c>
      <c r="AF5" s="22">
        <f t="shared" si="0"/>
        <v>46099</v>
      </c>
      <c r="AG5" s="22">
        <f t="shared" si="0"/>
        <v>46100</v>
      </c>
      <c r="AH5" s="22">
        <f t="shared" si="0"/>
        <v>46101</v>
      </c>
      <c r="AI5" s="22">
        <f t="shared" si="0"/>
        <v>46102</v>
      </c>
      <c r="AJ5" s="23">
        <f t="shared" si="0"/>
        <v>46103</v>
      </c>
      <c r="AK5" s="24">
        <f>AJ5+1</f>
        <v>46104</v>
      </c>
      <c r="AL5" s="22">
        <f>AK5+1</f>
        <v>46105</v>
      </c>
      <c r="AM5" s="22">
        <f t="shared" si="0"/>
        <v>46106</v>
      </c>
      <c r="AN5" s="22">
        <f t="shared" si="0"/>
        <v>46107</v>
      </c>
      <c r="AO5" s="22">
        <f t="shared" si="0"/>
        <v>46108</v>
      </c>
      <c r="AP5" s="22">
        <f t="shared" si="0"/>
        <v>46109</v>
      </c>
      <c r="AQ5" s="23">
        <f t="shared" si="0"/>
        <v>46110</v>
      </c>
      <c r="AR5" s="24">
        <f>AQ5+1</f>
        <v>46111</v>
      </c>
      <c r="AS5" s="22">
        <f>AR5+1</f>
        <v>46112</v>
      </c>
      <c r="AT5" s="22">
        <f t="shared" si="0"/>
        <v>46113</v>
      </c>
      <c r="AU5" s="22">
        <f t="shared" si="0"/>
        <v>46114</v>
      </c>
      <c r="AV5" s="22">
        <f t="shared" si="0"/>
        <v>46115</v>
      </c>
      <c r="AW5" s="22">
        <f t="shared" si="0"/>
        <v>46116</v>
      </c>
      <c r="AX5" s="23">
        <f t="shared" si="0"/>
        <v>46117</v>
      </c>
      <c r="AY5" s="24">
        <f>AX5+1</f>
        <v>46118</v>
      </c>
      <c r="AZ5" s="22">
        <f>AY5+1</f>
        <v>46119</v>
      </c>
      <c r="BA5" s="22">
        <f t="shared" ref="BA5:BE5" si="1">AZ5+1</f>
        <v>46120</v>
      </c>
      <c r="BB5" s="22">
        <f t="shared" si="1"/>
        <v>46121</v>
      </c>
      <c r="BC5" s="22">
        <f t="shared" si="1"/>
        <v>46122</v>
      </c>
      <c r="BD5" s="22">
        <f t="shared" si="1"/>
        <v>46123</v>
      </c>
      <c r="BE5" s="23">
        <f t="shared" si="1"/>
        <v>46124</v>
      </c>
      <c r="BF5" s="24">
        <f>BE5+1</f>
        <v>46125</v>
      </c>
      <c r="BG5" s="22">
        <f>BF5+1</f>
        <v>46126</v>
      </c>
      <c r="BH5" s="22">
        <f t="shared" ref="BH5:BL5" si="2">BG5+1</f>
        <v>46127</v>
      </c>
      <c r="BI5" s="22">
        <f t="shared" si="2"/>
        <v>46128</v>
      </c>
      <c r="BJ5" s="22">
        <f t="shared" si="2"/>
        <v>46129</v>
      </c>
      <c r="BK5" s="22">
        <f t="shared" si="2"/>
        <v>46130</v>
      </c>
      <c r="BL5" s="22">
        <f t="shared" si="2"/>
        <v>46131</v>
      </c>
    </row>
    <row r="6" spans="1:64" s="17" customFormat="1" x14ac:dyDescent="0.25">
      <c r="A6" s="50"/>
      <c r="B6" s="50"/>
      <c r="C6" s="52"/>
      <c r="D6" s="52"/>
      <c r="E6" s="52"/>
      <c r="F6" s="52"/>
      <c r="I6" s="25" t="str">
        <f t="shared" ref="I6:AN6" si="3">LEFT(TEXT(I5,"ddd"),1)</f>
        <v>M</v>
      </c>
      <c r="J6" s="26" t="str">
        <f t="shared" si="3"/>
        <v>T</v>
      </c>
      <c r="K6" s="26" t="str">
        <f t="shared" si="3"/>
        <v>W</v>
      </c>
      <c r="L6" s="26" t="str">
        <f t="shared" si="3"/>
        <v>T</v>
      </c>
      <c r="M6" s="26" t="str">
        <f t="shared" si="3"/>
        <v>F</v>
      </c>
      <c r="N6" s="26" t="str">
        <f t="shared" si="3"/>
        <v>S</v>
      </c>
      <c r="O6" s="26" t="str">
        <f t="shared" si="3"/>
        <v>S</v>
      </c>
      <c r="P6" s="26" t="str">
        <f t="shared" si="3"/>
        <v>M</v>
      </c>
      <c r="Q6" s="26" t="str">
        <f t="shared" si="3"/>
        <v>T</v>
      </c>
      <c r="R6" s="26" t="str">
        <f t="shared" si="3"/>
        <v>W</v>
      </c>
      <c r="S6" s="26" t="str">
        <f t="shared" si="3"/>
        <v>T</v>
      </c>
      <c r="T6" s="26" t="str">
        <f t="shared" si="3"/>
        <v>F</v>
      </c>
      <c r="U6" s="26" t="str">
        <f t="shared" si="3"/>
        <v>S</v>
      </c>
      <c r="V6" s="26" t="str">
        <f t="shared" si="3"/>
        <v>S</v>
      </c>
      <c r="W6" s="26" t="str">
        <f t="shared" si="3"/>
        <v>M</v>
      </c>
      <c r="X6" s="26" t="str">
        <f t="shared" si="3"/>
        <v>T</v>
      </c>
      <c r="Y6" s="26" t="str">
        <f t="shared" si="3"/>
        <v>W</v>
      </c>
      <c r="Z6" s="26" t="str">
        <f t="shared" si="3"/>
        <v>T</v>
      </c>
      <c r="AA6" s="26" t="str">
        <f t="shared" si="3"/>
        <v>F</v>
      </c>
      <c r="AB6" s="26" t="str">
        <f t="shared" si="3"/>
        <v>S</v>
      </c>
      <c r="AC6" s="26" t="str">
        <f t="shared" si="3"/>
        <v>S</v>
      </c>
      <c r="AD6" s="26" t="str">
        <f t="shared" si="3"/>
        <v>M</v>
      </c>
      <c r="AE6" s="26" t="str">
        <f t="shared" si="3"/>
        <v>T</v>
      </c>
      <c r="AF6" s="26" t="str">
        <f t="shared" si="3"/>
        <v>W</v>
      </c>
      <c r="AG6" s="26" t="str">
        <f t="shared" si="3"/>
        <v>T</v>
      </c>
      <c r="AH6" s="26" t="str">
        <f t="shared" si="3"/>
        <v>F</v>
      </c>
      <c r="AI6" s="26" t="str">
        <f t="shared" si="3"/>
        <v>S</v>
      </c>
      <c r="AJ6" s="26" t="str">
        <f t="shared" si="3"/>
        <v>S</v>
      </c>
      <c r="AK6" s="26" t="str">
        <f t="shared" si="3"/>
        <v>M</v>
      </c>
      <c r="AL6" s="26" t="str">
        <f t="shared" si="3"/>
        <v>T</v>
      </c>
      <c r="AM6" s="26" t="str">
        <f t="shared" si="3"/>
        <v>W</v>
      </c>
      <c r="AN6" s="26" t="str">
        <f t="shared" si="3"/>
        <v>T</v>
      </c>
      <c r="AO6" s="26" t="str">
        <f t="shared" ref="AO6:BL6" si="4">LEFT(TEXT(AO5,"ddd"),1)</f>
        <v>F</v>
      </c>
      <c r="AP6" s="26" t="str">
        <f t="shared" si="4"/>
        <v>S</v>
      </c>
      <c r="AQ6" s="26" t="str">
        <f t="shared" si="4"/>
        <v>S</v>
      </c>
      <c r="AR6" s="26" t="str">
        <f t="shared" si="4"/>
        <v>M</v>
      </c>
      <c r="AS6" s="26" t="str">
        <f t="shared" si="4"/>
        <v>T</v>
      </c>
      <c r="AT6" s="26" t="str">
        <f t="shared" si="4"/>
        <v>W</v>
      </c>
      <c r="AU6" s="26" t="str">
        <f t="shared" si="4"/>
        <v>T</v>
      </c>
      <c r="AV6" s="26" t="str">
        <f t="shared" si="4"/>
        <v>F</v>
      </c>
      <c r="AW6" s="26" t="str">
        <f t="shared" si="4"/>
        <v>S</v>
      </c>
      <c r="AX6" s="26" t="str">
        <f t="shared" si="4"/>
        <v>S</v>
      </c>
      <c r="AY6" s="26" t="str">
        <f t="shared" si="4"/>
        <v>M</v>
      </c>
      <c r="AZ6" s="26" t="str">
        <f t="shared" si="4"/>
        <v>T</v>
      </c>
      <c r="BA6" s="26" t="str">
        <f t="shared" si="4"/>
        <v>W</v>
      </c>
      <c r="BB6" s="26" t="str">
        <f t="shared" si="4"/>
        <v>T</v>
      </c>
      <c r="BC6" s="26" t="str">
        <f t="shared" si="4"/>
        <v>F</v>
      </c>
      <c r="BD6" s="26" t="str">
        <f t="shared" si="4"/>
        <v>S</v>
      </c>
      <c r="BE6" s="26" t="str">
        <f t="shared" si="4"/>
        <v>S</v>
      </c>
      <c r="BF6" s="26" t="str">
        <f t="shared" si="4"/>
        <v>M</v>
      </c>
      <c r="BG6" s="26" t="str">
        <f t="shared" si="4"/>
        <v>T</v>
      </c>
      <c r="BH6" s="26" t="str">
        <f t="shared" si="4"/>
        <v>W</v>
      </c>
      <c r="BI6" s="26" t="str">
        <f t="shared" si="4"/>
        <v>T</v>
      </c>
      <c r="BJ6" s="26" t="str">
        <f t="shared" si="4"/>
        <v>F</v>
      </c>
      <c r="BK6" s="26" t="str">
        <f t="shared" si="4"/>
        <v>S</v>
      </c>
      <c r="BL6" s="27" t="str">
        <f t="shared" si="4"/>
        <v>S</v>
      </c>
    </row>
    <row r="7" spans="1:64" s="17" customFormat="1" ht="14.4" thickBot="1" x14ac:dyDescent="0.3">
      <c r="A7" s="10" t="s">
        <v>19</v>
      </c>
      <c r="B7" s="28"/>
      <c r="C7" s="29"/>
      <c r="D7" s="28"/>
      <c r="E7" s="28"/>
      <c r="F7" s="28"/>
      <c r="H7" s="17" t="str">
        <f>IF(OR(ISBLANK(task_start),ISBLANK(task_end)),"",task_end-task_start+1)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s="32" customFormat="1" ht="31.8" customHeight="1" thickBot="1" x14ac:dyDescent="0.3">
      <c r="A8" s="183">
        <v>1</v>
      </c>
      <c r="B8" s="118" t="s">
        <v>25</v>
      </c>
      <c r="C8" s="119"/>
      <c r="D8" s="119"/>
      <c r="E8" s="119"/>
      <c r="F8" s="120"/>
      <c r="G8" s="12"/>
      <c r="H8" s="3" t="str">
        <f t="shared" ref="H8:H48" si="5">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2" customFormat="1" ht="14.4" thickBot="1" x14ac:dyDescent="0.3">
      <c r="A9" s="11"/>
      <c r="B9" s="77" t="s">
        <v>26</v>
      </c>
      <c r="C9" s="63" t="s">
        <v>24</v>
      </c>
      <c r="D9" s="64">
        <v>1</v>
      </c>
      <c r="E9" s="65">
        <f>Project_Start</f>
        <v>46078</v>
      </c>
      <c r="F9" s="78">
        <f>E9</f>
        <v>46078</v>
      </c>
      <c r="G9" s="12"/>
      <c r="H9" s="3">
        <f t="shared" si="5"/>
        <v>1</v>
      </c>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row>
    <row r="10" spans="1:64" s="32" customFormat="1" ht="14.4" thickBot="1" x14ac:dyDescent="0.3">
      <c r="A10" s="11"/>
      <c r="B10" s="79" t="s">
        <v>27</v>
      </c>
      <c r="C10" s="63" t="s">
        <v>24</v>
      </c>
      <c r="D10" s="64">
        <v>1</v>
      </c>
      <c r="E10" s="66">
        <f>F9</f>
        <v>46078</v>
      </c>
      <c r="F10" s="80">
        <f>F9</f>
        <v>46078</v>
      </c>
      <c r="G10" s="12"/>
      <c r="H10" s="3">
        <f t="shared" si="5"/>
        <v>1</v>
      </c>
      <c r="I10" s="33"/>
      <c r="J10" s="33"/>
      <c r="K10" s="33"/>
      <c r="L10" s="33"/>
      <c r="M10" s="33"/>
      <c r="N10" s="33"/>
      <c r="O10" s="33"/>
      <c r="P10" s="33"/>
      <c r="Q10" s="33"/>
      <c r="R10" s="33"/>
      <c r="S10" s="33"/>
      <c r="T10" s="33"/>
      <c r="U10" s="34"/>
      <c r="V10" s="34"/>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row>
    <row r="11" spans="1:64" s="32" customFormat="1" ht="14.4" thickBot="1" x14ac:dyDescent="0.3">
      <c r="A11" s="10"/>
      <c r="B11" s="81" t="s">
        <v>28</v>
      </c>
      <c r="C11" s="82" t="s">
        <v>24</v>
      </c>
      <c r="D11" s="83">
        <v>1</v>
      </c>
      <c r="E11" s="84">
        <f>F10+2</f>
        <v>46080</v>
      </c>
      <c r="F11" s="84">
        <f>G10+2</f>
        <v>2</v>
      </c>
      <c r="G11" s="12"/>
      <c r="H11" s="3">
        <f t="shared" si="5"/>
        <v>-46077</v>
      </c>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row>
    <row r="12" spans="1:64" s="32" customFormat="1" ht="40.200000000000003" customHeight="1" thickBot="1" x14ac:dyDescent="0.3">
      <c r="A12" s="183">
        <v>2</v>
      </c>
      <c r="B12" s="125" t="s">
        <v>29</v>
      </c>
      <c r="C12" s="126"/>
      <c r="D12" s="126"/>
      <c r="E12" s="126"/>
      <c r="F12" s="127"/>
      <c r="G12" s="12"/>
      <c r="H12" s="3" t="str">
        <f t="shared" si="5"/>
        <v/>
      </c>
    </row>
    <row r="13" spans="1:64" s="32" customFormat="1" ht="14.4" thickBot="1" x14ac:dyDescent="0.3">
      <c r="A13" s="11"/>
      <c r="B13" s="121" t="s">
        <v>30</v>
      </c>
      <c r="C13" s="122" t="s">
        <v>24</v>
      </c>
      <c r="D13" s="123">
        <v>1</v>
      </c>
      <c r="E13" s="124">
        <v>46087</v>
      </c>
      <c r="F13" s="124">
        <f>E13</f>
        <v>46087</v>
      </c>
      <c r="G13" s="12"/>
      <c r="H13" s="3">
        <f t="shared" si="5"/>
        <v>1</v>
      </c>
      <c r="I13" s="33"/>
      <c r="J13" s="33"/>
      <c r="K13" s="33"/>
      <c r="L13" s="33"/>
      <c r="M13" s="33"/>
      <c r="N13" s="33"/>
      <c r="O13" s="33"/>
      <c r="P13" s="33"/>
      <c r="Q13" s="33"/>
      <c r="R13" s="33"/>
      <c r="S13" s="33"/>
      <c r="T13" s="33" t="s">
        <v>66</v>
      </c>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row>
    <row r="14" spans="1:64" s="32" customFormat="1" ht="14.4" thickBot="1" x14ac:dyDescent="0.3">
      <c r="A14" s="10"/>
      <c r="B14" s="73" t="s">
        <v>31</v>
      </c>
      <c r="C14" s="35" t="s">
        <v>24</v>
      </c>
      <c r="D14" s="36">
        <v>1</v>
      </c>
      <c r="E14" s="37">
        <v>46088</v>
      </c>
      <c r="F14" s="37">
        <f t="shared" ref="F14:F16" si="6">E14</f>
        <v>46088</v>
      </c>
      <c r="G14" s="12"/>
      <c r="H14" s="3">
        <f t="shared" si="5"/>
        <v>1</v>
      </c>
      <c r="I14" s="33"/>
      <c r="J14" s="33"/>
      <c r="K14" s="33"/>
      <c r="L14" s="33"/>
      <c r="M14" s="33"/>
      <c r="N14" s="33"/>
      <c r="O14" s="33"/>
      <c r="P14" s="33"/>
      <c r="Q14" s="33"/>
      <c r="R14" s="33"/>
      <c r="S14" s="33"/>
      <c r="T14" s="33"/>
      <c r="U14" s="34" t="s">
        <v>66</v>
      </c>
      <c r="V14" s="34"/>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row>
    <row r="15" spans="1:64" s="32" customFormat="1" ht="14.4" thickBot="1" x14ac:dyDescent="0.3">
      <c r="A15" s="10"/>
      <c r="B15" s="73" t="s">
        <v>32</v>
      </c>
      <c r="C15" s="35" t="s">
        <v>24</v>
      </c>
      <c r="D15" s="36">
        <v>1</v>
      </c>
      <c r="E15" s="37">
        <v>46089</v>
      </c>
      <c r="F15" s="37">
        <f t="shared" si="6"/>
        <v>46089</v>
      </c>
      <c r="G15" s="12"/>
      <c r="H15" s="3">
        <f t="shared" si="5"/>
        <v>1</v>
      </c>
      <c r="I15" s="33"/>
      <c r="J15" s="33"/>
      <c r="K15" s="33"/>
      <c r="L15" s="33"/>
      <c r="M15" s="33"/>
      <c r="N15" s="33"/>
      <c r="O15" s="33"/>
      <c r="P15" s="33"/>
      <c r="Q15" s="33"/>
      <c r="R15" s="33"/>
      <c r="S15" s="33"/>
      <c r="T15" s="33"/>
      <c r="U15" s="33"/>
      <c r="V15" s="33" t="s">
        <v>66</v>
      </c>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row>
    <row r="16" spans="1:64" s="32" customFormat="1" ht="14.4" thickBot="1" x14ac:dyDescent="0.3">
      <c r="A16" s="10"/>
      <c r="B16" s="74" t="s">
        <v>33</v>
      </c>
      <c r="C16" s="75" t="s">
        <v>24</v>
      </c>
      <c r="D16" s="76">
        <v>1</v>
      </c>
      <c r="E16" s="37">
        <v>46090</v>
      </c>
      <c r="F16" s="37">
        <f t="shared" si="6"/>
        <v>46090</v>
      </c>
      <c r="G16" s="12"/>
      <c r="H16" s="3">
        <f t="shared" si="5"/>
        <v>1</v>
      </c>
      <c r="I16" s="33"/>
      <c r="J16" s="33"/>
      <c r="K16" s="33"/>
      <c r="L16" s="33"/>
      <c r="M16" s="33"/>
      <c r="N16" s="33"/>
      <c r="O16" s="33"/>
      <c r="P16" s="33"/>
      <c r="Q16" s="33"/>
      <c r="R16" s="33"/>
      <c r="S16" s="33"/>
      <c r="T16" s="33"/>
      <c r="U16" s="33"/>
      <c r="V16" s="33"/>
      <c r="W16" s="33" t="s">
        <v>66</v>
      </c>
      <c r="X16" s="33"/>
      <c r="Y16" s="34"/>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row>
    <row r="17" spans="1:64" s="32" customFormat="1" ht="33.6" customHeight="1" thickBot="1" x14ac:dyDescent="0.3">
      <c r="A17" s="183">
        <v>3</v>
      </c>
      <c r="B17" s="132" t="s">
        <v>34</v>
      </c>
      <c r="C17" s="133"/>
      <c r="D17" s="133"/>
      <c r="E17" s="133"/>
      <c r="F17" s="134"/>
      <c r="G17" s="12"/>
      <c r="H17" s="3" t="str">
        <f t="shared" si="5"/>
        <v/>
      </c>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c r="AM17" s="38"/>
      <c r="AN17" s="38"/>
      <c r="AO17" s="38"/>
      <c r="AP17" s="38"/>
      <c r="AQ17" s="38"/>
      <c r="AR17" s="38"/>
      <c r="AS17" s="38"/>
      <c r="AT17" s="38"/>
      <c r="AU17" s="38"/>
      <c r="AV17" s="38"/>
      <c r="AW17" s="38"/>
      <c r="AX17" s="38"/>
      <c r="AY17" s="38"/>
      <c r="AZ17" s="38"/>
      <c r="BA17" s="38"/>
      <c r="BB17" s="38"/>
      <c r="BC17" s="38"/>
      <c r="BD17" s="38"/>
      <c r="BE17" s="38"/>
      <c r="BF17" s="38"/>
      <c r="BG17" s="38"/>
      <c r="BH17" s="38"/>
      <c r="BI17" s="38"/>
      <c r="BJ17" s="38"/>
      <c r="BK17" s="38"/>
      <c r="BL17" s="38"/>
    </row>
    <row r="18" spans="1:64" s="32" customFormat="1" ht="14.4" thickBot="1" x14ac:dyDescent="0.3">
      <c r="A18" s="10"/>
      <c r="B18" s="128" t="s">
        <v>35</v>
      </c>
      <c r="C18" s="129" t="s">
        <v>24</v>
      </c>
      <c r="D18" s="130">
        <v>1</v>
      </c>
      <c r="E18" s="131">
        <v>46106</v>
      </c>
      <c r="F18" s="131">
        <f>E18</f>
        <v>46106</v>
      </c>
      <c r="G18" s="12"/>
      <c r="H18" s="3">
        <f t="shared" si="5"/>
        <v>1</v>
      </c>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t="s">
        <v>67</v>
      </c>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row>
    <row r="19" spans="1:64" s="32" customFormat="1" ht="14.4" thickBot="1" x14ac:dyDescent="0.3">
      <c r="A19" s="10"/>
      <c r="B19" s="67" t="s">
        <v>36</v>
      </c>
      <c r="C19" s="68" t="s">
        <v>24</v>
      </c>
      <c r="D19" s="69">
        <v>1</v>
      </c>
      <c r="E19" s="131">
        <v>46107</v>
      </c>
      <c r="F19" s="131">
        <f t="shared" ref="F19:F21" si="7">E19</f>
        <v>46107</v>
      </c>
      <c r="G19" s="12"/>
      <c r="H19" s="3">
        <f t="shared" si="5"/>
        <v>1</v>
      </c>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t="s">
        <v>67</v>
      </c>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row>
    <row r="20" spans="1:64" s="32" customFormat="1" ht="14.4" thickBot="1" x14ac:dyDescent="0.3">
      <c r="A20" s="10"/>
      <c r="B20" s="67" t="s">
        <v>37</v>
      </c>
      <c r="C20" s="68" t="s">
        <v>24</v>
      </c>
      <c r="D20" s="69">
        <v>1</v>
      </c>
      <c r="E20" s="131">
        <v>46108</v>
      </c>
      <c r="F20" s="131">
        <f t="shared" si="7"/>
        <v>46108</v>
      </c>
      <c r="G20" s="12"/>
      <c r="H20" s="3">
        <f t="shared" si="5"/>
        <v>1</v>
      </c>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t="s">
        <v>67</v>
      </c>
      <c r="AP20" s="33"/>
      <c r="AQ20" s="33"/>
      <c r="AR20" s="33"/>
      <c r="AS20" s="33"/>
      <c r="AT20" s="33"/>
      <c r="AU20" s="33"/>
      <c r="AV20" s="33"/>
      <c r="AW20" s="33"/>
      <c r="AX20" s="33"/>
      <c r="AY20" s="33"/>
      <c r="AZ20" s="33"/>
      <c r="BA20" s="33"/>
      <c r="BB20" s="33"/>
      <c r="BC20" s="33"/>
      <c r="BD20" s="33"/>
      <c r="BE20" s="33"/>
      <c r="BF20" s="33"/>
      <c r="BG20" s="33"/>
      <c r="BH20" s="33"/>
      <c r="BI20" s="33"/>
      <c r="BJ20" s="33"/>
      <c r="BK20" s="33"/>
      <c r="BL20" s="33"/>
    </row>
    <row r="21" spans="1:64" s="32" customFormat="1" ht="14.4" thickBot="1" x14ac:dyDescent="0.3">
      <c r="A21" s="10"/>
      <c r="B21" s="70" t="s">
        <v>38</v>
      </c>
      <c r="C21" s="71" t="s">
        <v>24</v>
      </c>
      <c r="D21" s="72">
        <v>1</v>
      </c>
      <c r="E21" s="131">
        <v>46109</v>
      </c>
      <c r="F21" s="131">
        <f t="shared" si="7"/>
        <v>46109</v>
      </c>
      <c r="G21" s="12"/>
      <c r="H21" s="3">
        <f t="shared" si="5"/>
        <v>1</v>
      </c>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t="s">
        <v>67</v>
      </c>
      <c r="AQ21" s="33"/>
      <c r="AR21" s="33"/>
      <c r="AS21" s="33"/>
      <c r="AT21" s="33"/>
      <c r="AU21" s="33"/>
      <c r="AV21" s="33"/>
      <c r="AW21" s="33"/>
      <c r="AX21" s="33"/>
      <c r="AY21" s="33"/>
      <c r="AZ21" s="33"/>
      <c r="BA21" s="33"/>
      <c r="BB21" s="33"/>
      <c r="BC21" s="33"/>
      <c r="BD21" s="33"/>
      <c r="BE21" s="33"/>
      <c r="BF21" s="33"/>
      <c r="BG21" s="33"/>
      <c r="BH21" s="33"/>
      <c r="BI21" s="33"/>
      <c r="BJ21" s="33"/>
      <c r="BK21" s="33"/>
      <c r="BL21" s="33"/>
    </row>
    <row r="22" spans="1:64" s="32" customFormat="1" ht="36.6" customHeight="1" thickBot="1" x14ac:dyDescent="0.3">
      <c r="A22" s="183">
        <v>4</v>
      </c>
      <c r="B22" s="139" t="s">
        <v>39</v>
      </c>
      <c r="C22" s="140"/>
      <c r="D22" s="140"/>
      <c r="E22" s="140"/>
      <c r="F22" s="141"/>
      <c r="G22" s="12"/>
      <c r="H22" s="3" t="str">
        <f t="shared" si="5"/>
        <v/>
      </c>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row>
    <row r="23" spans="1:64" s="32" customFormat="1" ht="14.4" thickBot="1" x14ac:dyDescent="0.3">
      <c r="A23" s="10"/>
      <c r="B23" s="135" t="s">
        <v>40</v>
      </c>
      <c r="C23" s="136" t="s">
        <v>24</v>
      </c>
      <c r="D23" s="137">
        <v>1</v>
      </c>
      <c r="E23" s="138">
        <v>46106</v>
      </c>
      <c r="F23" s="138">
        <f>E23</f>
        <v>46106</v>
      </c>
      <c r="G23" s="12"/>
      <c r="H23" s="3">
        <f t="shared" si="5"/>
        <v>1</v>
      </c>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t="s">
        <v>67</v>
      </c>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row>
    <row r="24" spans="1:64" s="32" customFormat="1" ht="14.4" thickBot="1" x14ac:dyDescent="0.3">
      <c r="A24" s="10"/>
      <c r="B24" s="87" t="s">
        <v>41</v>
      </c>
      <c r="C24" s="85" t="s">
        <v>24</v>
      </c>
      <c r="D24" s="86">
        <v>1</v>
      </c>
      <c r="E24" s="138">
        <v>46107</v>
      </c>
      <c r="F24" s="138">
        <f t="shared" ref="F24:F26" si="8">E24</f>
        <v>46107</v>
      </c>
      <c r="G24" s="12"/>
      <c r="H24" s="3">
        <f t="shared" si="5"/>
        <v>1</v>
      </c>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t="s">
        <v>67</v>
      </c>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row>
    <row r="25" spans="1:64" s="32" customFormat="1" ht="14.4" thickBot="1" x14ac:dyDescent="0.3">
      <c r="A25" s="10"/>
      <c r="B25" s="87" t="s">
        <v>42</v>
      </c>
      <c r="C25" s="85" t="s">
        <v>24</v>
      </c>
      <c r="D25" s="86">
        <v>1</v>
      </c>
      <c r="E25" s="138">
        <v>46108</v>
      </c>
      <c r="F25" s="138">
        <f t="shared" si="8"/>
        <v>46108</v>
      </c>
      <c r="G25" s="12"/>
      <c r="H25" s="3">
        <f t="shared" si="5"/>
        <v>1</v>
      </c>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t="s">
        <v>67</v>
      </c>
      <c r="AP25" s="33"/>
      <c r="AQ25" s="33"/>
      <c r="AR25" s="33"/>
      <c r="AS25" s="33"/>
      <c r="AT25" s="33"/>
      <c r="AU25" s="33"/>
      <c r="AV25" s="33"/>
      <c r="AW25" s="33"/>
      <c r="AX25" s="33"/>
      <c r="AY25" s="33"/>
      <c r="AZ25" s="33"/>
      <c r="BA25" s="33"/>
      <c r="BB25" s="33"/>
      <c r="BC25" s="33"/>
      <c r="BD25" s="33"/>
      <c r="BE25" s="33"/>
      <c r="BF25" s="33"/>
      <c r="BG25" s="33"/>
      <c r="BH25" s="33"/>
      <c r="BI25" s="33"/>
      <c r="BJ25" s="33"/>
      <c r="BK25" s="33"/>
      <c r="BL25" s="33"/>
    </row>
    <row r="26" spans="1:64" s="32" customFormat="1" ht="14.4" thickBot="1" x14ac:dyDescent="0.3">
      <c r="A26" s="10"/>
      <c r="B26" s="88" t="s">
        <v>43</v>
      </c>
      <c r="C26" s="89" t="s">
        <v>24</v>
      </c>
      <c r="D26" s="90">
        <v>1</v>
      </c>
      <c r="E26" s="138">
        <v>46109</v>
      </c>
      <c r="F26" s="138">
        <f t="shared" si="8"/>
        <v>46109</v>
      </c>
      <c r="G26" s="12"/>
      <c r="H26" s="3">
        <f t="shared" si="5"/>
        <v>1</v>
      </c>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t="s">
        <v>67</v>
      </c>
      <c r="AQ26" s="33"/>
      <c r="AR26" s="33"/>
      <c r="AS26" s="33"/>
      <c r="AT26" s="33"/>
      <c r="AU26" s="33"/>
      <c r="AV26" s="33"/>
      <c r="AW26" s="33"/>
      <c r="AX26" s="33"/>
      <c r="AY26" s="33"/>
      <c r="AZ26" s="33"/>
      <c r="BA26" s="33"/>
      <c r="BB26" s="33"/>
      <c r="BC26" s="33"/>
      <c r="BD26" s="33"/>
      <c r="BE26" s="33"/>
      <c r="BF26" s="33"/>
      <c r="BG26" s="33"/>
      <c r="BH26" s="33"/>
      <c r="BI26" s="33"/>
      <c r="BJ26" s="33"/>
      <c r="BK26" s="33"/>
      <c r="BL26" s="33"/>
    </row>
    <row r="27" spans="1:64" s="32" customFormat="1" ht="33.6" customHeight="1" thickBot="1" x14ac:dyDescent="0.3">
      <c r="A27" s="183">
        <v>5</v>
      </c>
      <c r="B27" s="147" t="s">
        <v>44</v>
      </c>
      <c r="C27" s="148"/>
      <c r="D27" s="148"/>
      <c r="E27" s="148"/>
      <c r="F27" s="149"/>
      <c r="G27" s="12"/>
      <c r="H27" s="3" t="str">
        <f t="shared" si="5"/>
        <v/>
      </c>
      <c r="I27" s="39"/>
      <c r="J27" s="39"/>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row>
    <row r="28" spans="1:64" s="32" customFormat="1" ht="14.4" thickBot="1" x14ac:dyDescent="0.3">
      <c r="A28" s="10"/>
      <c r="B28" s="142" t="s">
        <v>45</v>
      </c>
      <c r="C28" s="143" t="s">
        <v>24</v>
      </c>
      <c r="D28" s="144">
        <v>1</v>
      </c>
      <c r="E28" s="145">
        <v>46106</v>
      </c>
      <c r="F28" s="146">
        <f>E28</f>
        <v>46106</v>
      </c>
      <c r="G28" s="12"/>
      <c r="H28" s="3">
        <f t="shared" si="5"/>
        <v>1</v>
      </c>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t="s">
        <v>69</v>
      </c>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row>
    <row r="29" spans="1:64" s="32" customFormat="1" ht="14.4" thickBot="1" x14ac:dyDescent="0.3">
      <c r="A29" s="10"/>
      <c r="B29" s="93" t="s">
        <v>46</v>
      </c>
      <c r="C29" s="91" t="s">
        <v>24</v>
      </c>
      <c r="D29" s="92">
        <v>1</v>
      </c>
      <c r="E29" s="145">
        <v>46107</v>
      </c>
      <c r="F29" s="146">
        <f t="shared" ref="F29:F31" si="9">E29</f>
        <v>46107</v>
      </c>
      <c r="G29" s="12"/>
      <c r="H29" s="3">
        <f t="shared" si="5"/>
        <v>1</v>
      </c>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t="s">
        <v>69</v>
      </c>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row>
    <row r="30" spans="1:64" s="32" customFormat="1" ht="14.4" thickBot="1" x14ac:dyDescent="0.3">
      <c r="A30" s="10"/>
      <c r="B30" s="93" t="s">
        <v>48</v>
      </c>
      <c r="C30" s="91" t="s">
        <v>24</v>
      </c>
      <c r="D30" s="92">
        <v>1</v>
      </c>
      <c r="E30" s="145">
        <v>46108</v>
      </c>
      <c r="F30" s="146">
        <f t="shared" si="9"/>
        <v>46108</v>
      </c>
      <c r="G30" s="12"/>
      <c r="H30" s="3">
        <f t="shared" si="5"/>
        <v>1</v>
      </c>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t="s">
        <v>69</v>
      </c>
      <c r="AP30" s="33"/>
      <c r="AQ30" s="33"/>
      <c r="AR30" s="33"/>
      <c r="AS30" s="33"/>
      <c r="AT30" s="33"/>
      <c r="AU30" s="33"/>
      <c r="AV30" s="33"/>
      <c r="AW30" s="33"/>
      <c r="AX30" s="33"/>
      <c r="AY30" s="33"/>
      <c r="AZ30" s="33"/>
      <c r="BA30" s="33"/>
      <c r="BB30" s="33"/>
      <c r="BC30" s="33"/>
      <c r="BD30" s="33"/>
      <c r="BE30" s="33"/>
      <c r="BF30" s="33"/>
      <c r="BG30" s="33"/>
      <c r="BH30" s="33"/>
      <c r="BI30" s="33"/>
      <c r="BJ30" s="33"/>
      <c r="BK30" s="33"/>
      <c r="BL30" s="33"/>
    </row>
    <row r="31" spans="1:64" s="32" customFormat="1" ht="14.4" thickBot="1" x14ac:dyDescent="0.3">
      <c r="A31" s="10"/>
      <c r="B31" s="94" t="s">
        <v>47</v>
      </c>
      <c r="C31" s="95" t="s">
        <v>24</v>
      </c>
      <c r="D31" s="96">
        <v>1</v>
      </c>
      <c r="E31" s="145">
        <v>46109</v>
      </c>
      <c r="F31" s="146">
        <f t="shared" si="9"/>
        <v>46109</v>
      </c>
      <c r="G31" s="12"/>
      <c r="H31" s="3">
        <f t="shared" si="5"/>
        <v>1</v>
      </c>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t="s">
        <v>69</v>
      </c>
      <c r="AQ31" s="33"/>
      <c r="AR31" s="33"/>
      <c r="AS31" s="33"/>
      <c r="AT31" s="33"/>
      <c r="AU31" s="33"/>
      <c r="AV31" s="33"/>
      <c r="AW31" s="33"/>
      <c r="AX31" s="33"/>
      <c r="AY31" s="33"/>
      <c r="AZ31" s="33"/>
      <c r="BA31" s="33"/>
      <c r="BB31" s="33"/>
      <c r="BC31" s="33"/>
      <c r="BD31" s="33"/>
      <c r="BE31" s="33"/>
      <c r="BF31" s="33"/>
      <c r="BG31" s="33"/>
      <c r="BH31" s="33"/>
      <c r="BI31" s="33"/>
      <c r="BJ31" s="33"/>
      <c r="BK31" s="33"/>
      <c r="BL31" s="33"/>
    </row>
    <row r="32" spans="1:64" s="32" customFormat="1" ht="31.8" customHeight="1" thickBot="1" x14ac:dyDescent="0.3">
      <c r="A32" s="183">
        <v>6</v>
      </c>
      <c r="B32" s="154" t="s">
        <v>49</v>
      </c>
      <c r="C32" s="155"/>
      <c r="D32" s="155"/>
      <c r="E32" s="155"/>
      <c r="F32" s="156"/>
      <c r="G32" s="12"/>
      <c r="H32" s="3" t="str">
        <f t="shared" si="5"/>
        <v/>
      </c>
      <c r="I32" s="39"/>
      <c r="J32" s="39"/>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c r="BA32" s="39"/>
      <c r="BB32" s="39"/>
      <c r="BC32" s="39"/>
      <c r="BD32" s="39"/>
      <c r="BE32" s="39"/>
      <c r="BF32" s="39"/>
      <c r="BG32" s="39"/>
      <c r="BH32" s="39"/>
      <c r="BI32" s="39"/>
      <c r="BJ32" s="39"/>
      <c r="BK32" s="39"/>
      <c r="BL32" s="39"/>
    </row>
    <row r="33" spans="1:64" s="32" customFormat="1" ht="14.4" thickBot="1" x14ac:dyDescent="0.3">
      <c r="A33" s="10"/>
      <c r="B33" s="150" t="s">
        <v>50</v>
      </c>
      <c r="C33" s="151"/>
      <c r="D33" s="152">
        <v>1</v>
      </c>
      <c r="E33" s="153">
        <v>46108</v>
      </c>
      <c r="F33" s="153">
        <f>E33</f>
        <v>46108</v>
      </c>
      <c r="G33" s="12"/>
      <c r="H33" s="3">
        <f t="shared" si="5"/>
        <v>1</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t="s">
        <v>70</v>
      </c>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s="32" customFormat="1" ht="14.4" thickBot="1" x14ac:dyDescent="0.3">
      <c r="A34" s="10"/>
      <c r="B34" s="97" t="s">
        <v>51</v>
      </c>
      <c r="C34" s="98"/>
      <c r="D34" s="99">
        <v>1</v>
      </c>
      <c r="E34" s="100">
        <f>E33</f>
        <v>46108</v>
      </c>
      <c r="F34" s="100">
        <f>F33</f>
        <v>46108</v>
      </c>
      <c r="G34" s="12"/>
      <c r="H34" s="3">
        <f t="shared" si="5"/>
        <v>1</v>
      </c>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t="s">
        <v>70</v>
      </c>
      <c r="AP34" s="33"/>
      <c r="AQ34" s="33"/>
      <c r="AR34" s="33"/>
      <c r="AS34" s="33"/>
      <c r="AT34" s="33"/>
      <c r="AU34" s="33"/>
      <c r="AV34" s="33"/>
      <c r="AW34" s="33"/>
      <c r="AX34" s="33"/>
      <c r="AY34" s="33"/>
      <c r="AZ34" s="33"/>
      <c r="BA34" s="33"/>
      <c r="BB34" s="33"/>
      <c r="BC34" s="33"/>
      <c r="BD34" s="33"/>
      <c r="BE34" s="33"/>
      <c r="BF34" s="33"/>
      <c r="BG34" s="33"/>
      <c r="BH34" s="33"/>
      <c r="BI34" s="33"/>
      <c r="BJ34" s="33"/>
      <c r="BK34" s="33"/>
      <c r="BL34" s="33"/>
    </row>
    <row r="35" spans="1:64" s="32" customFormat="1" ht="14.4" thickBot="1" x14ac:dyDescent="0.3">
      <c r="A35" s="10"/>
      <c r="B35" s="97" t="s">
        <v>52</v>
      </c>
      <c r="C35" s="98"/>
      <c r="D35" s="99">
        <v>1</v>
      </c>
      <c r="E35" s="100">
        <f>F34+2</f>
        <v>46110</v>
      </c>
      <c r="F35" s="100">
        <f>E35</f>
        <v>46110</v>
      </c>
      <c r="G35" s="12"/>
      <c r="H35" s="3">
        <f t="shared" si="5"/>
        <v>1</v>
      </c>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t="s">
        <v>70</v>
      </c>
      <c r="AR35" s="33"/>
      <c r="AS35" s="33"/>
      <c r="AT35" s="33"/>
      <c r="AU35" s="33"/>
      <c r="AV35" s="33"/>
      <c r="AW35" s="33"/>
      <c r="AX35" s="33"/>
      <c r="AY35" s="33"/>
      <c r="AZ35" s="33"/>
      <c r="BA35" s="33"/>
      <c r="BB35" s="33"/>
      <c r="BC35" s="33"/>
      <c r="BD35" s="33"/>
      <c r="BE35" s="33"/>
      <c r="BF35" s="33"/>
      <c r="BG35" s="33"/>
      <c r="BH35" s="33"/>
      <c r="BI35" s="33"/>
      <c r="BJ35" s="33"/>
      <c r="BK35" s="33"/>
      <c r="BL35" s="33"/>
    </row>
    <row r="36" spans="1:64" s="32" customFormat="1" ht="14.4" thickBot="1" x14ac:dyDescent="0.3">
      <c r="A36" s="10"/>
      <c r="B36" s="111" t="s">
        <v>53</v>
      </c>
      <c r="C36" s="112"/>
      <c r="D36" s="113">
        <v>1</v>
      </c>
      <c r="E36" s="100">
        <f>F35+1</f>
        <v>46111</v>
      </c>
      <c r="F36" s="100">
        <f>E36</f>
        <v>46111</v>
      </c>
      <c r="G36" s="12"/>
      <c r="H36" s="3">
        <f t="shared" si="5"/>
        <v>1</v>
      </c>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t="s">
        <v>70</v>
      </c>
      <c r="AS36" s="33"/>
      <c r="AT36" s="33"/>
      <c r="AU36" s="33"/>
      <c r="AV36" s="33"/>
      <c r="AW36" s="33"/>
      <c r="AX36" s="33"/>
      <c r="AY36" s="33"/>
      <c r="AZ36" s="33"/>
      <c r="BA36" s="33"/>
      <c r="BB36" s="33"/>
      <c r="BC36" s="33"/>
      <c r="BD36" s="33"/>
      <c r="BE36" s="33"/>
      <c r="BF36" s="33"/>
      <c r="BG36" s="33"/>
      <c r="BH36" s="33"/>
      <c r="BI36" s="33"/>
      <c r="BJ36" s="33"/>
      <c r="BK36" s="33"/>
      <c r="BL36" s="33"/>
    </row>
    <row r="37" spans="1:64" s="32" customFormat="1" ht="27.6" customHeight="1" thickBot="1" x14ac:dyDescent="0.3">
      <c r="A37" s="183">
        <v>7</v>
      </c>
      <c r="B37" s="169" t="s">
        <v>54</v>
      </c>
      <c r="C37" s="170"/>
      <c r="D37" s="170"/>
      <c r="E37" s="170"/>
      <c r="F37" s="171"/>
      <c r="G37" s="12"/>
      <c r="H37" s="3" t="str">
        <f t="shared" si="5"/>
        <v/>
      </c>
      <c r="I37" s="39"/>
      <c r="J37" s="39"/>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row>
    <row r="38" spans="1:64" s="32" customFormat="1" ht="14.4" thickBot="1" x14ac:dyDescent="0.3">
      <c r="A38" s="10"/>
      <c r="B38" s="172" t="s">
        <v>55</v>
      </c>
      <c r="C38" s="173"/>
      <c r="D38" s="174">
        <v>1</v>
      </c>
      <c r="E38" s="175">
        <f>E31</f>
        <v>46109</v>
      </c>
      <c r="F38" s="175">
        <f>F31</f>
        <v>46109</v>
      </c>
      <c r="G38" s="12"/>
      <c r="H38" s="3">
        <f t="shared" si="5"/>
        <v>1</v>
      </c>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t="s">
        <v>70</v>
      </c>
      <c r="AQ38" s="33"/>
      <c r="AR38" s="33"/>
      <c r="AS38" s="33"/>
      <c r="AT38" s="33"/>
      <c r="AU38" s="33"/>
      <c r="AV38" s="33"/>
      <c r="AW38" s="33"/>
      <c r="AX38" s="33"/>
      <c r="AY38" s="33"/>
      <c r="AZ38" s="33"/>
      <c r="BA38" s="33"/>
      <c r="BB38" s="33"/>
      <c r="BC38" s="33"/>
      <c r="BD38" s="33"/>
      <c r="BE38" s="33"/>
      <c r="BF38" s="33"/>
      <c r="BG38" s="33"/>
      <c r="BH38" s="33"/>
      <c r="BI38" s="33"/>
      <c r="BJ38" s="33"/>
      <c r="BK38" s="33"/>
      <c r="BL38" s="33"/>
    </row>
    <row r="39" spans="1:64" s="32" customFormat="1" ht="27.6" customHeight="1" thickBot="1" x14ac:dyDescent="0.3">
      <c r="A39" s="183">
        <v>8</v>
      </c>
      <c r="B39" s="169" t="s">
        <v>56</v>
      </c>
      <c r="C39" s="170"/>
      <c r="D39" s="170"/>
      <c r="E39" s="170"/>
      <c r="F39" s="171"/>
      <c r="G39" s="12"/>
      <c r="H39" s="3" t="str">
        <f t="shared" si="5"/>
        <v/>
      </c>
      <c r="I39" s="39"/>
      <c r="J39" s="39"/>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c r="AY39" s="39"/>
      <c r="AZ39" s="39"/>
      <c r="BA39" s="39"/>
      <c r="BB39" s="39"/>
      <c r="BC39" s="39"/>
      <c r="BD39" s="39"/>
      <c r="BE39" s="39"/>
      <c r="BF39" s="39"/>
      <c r="BG39" s="39"/>
      <c r="BH39" s="39"/>
      <c r="BI39" s="39"/>
      <c r="BJ39" s="39"/>
      <c r="BK39" s="39"/>
      <c r="BL39" s="39"/>
    </row>
    <row r="40" spans="1:64" s="32" customFormat="1" ht="14.4" thickBot="1" x14ac:dyDescent="0.3">
      <c r="A40" s="10"/>
      <c r="B40" s="165" t="s">
        <v>57</v>
      </c>
      <c r="C40" s="166"/>
      <c r="D40" s="167">
        <v>1</v>
      </c>
      <c r="E40" s="168">
        <f>E36</f>
        <v>46111</v>
      </c>
      <c r="F40" s="168">
        <f>F36</f>
        <v>46111</v>
      </c>
      <c r="G40" s="12"/>
      <c r="H40" s="3">
        <f t="shared" si="5"/>
        <v>1</v>
      </c>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t="s">
        <v>71</v>
      </c>
      <c r="AS40" s="33"/>
      <c r="AT40" s="33"/>
      <c r="AU40" s="33"/>
      <c r="AV40" s="33"/>
      <c r="AW40" s="33"/>
      <c r="AX40" s="33"/>
      <c r="AY40" s="33"/>
      <c r="AZ40" s="33"/>
      <c r="BA40" s="33"/>
      <c r="BB40" s="33"/>
      <c r="BC40" s="33"/>
      <c r="BD40" s="33"/>
      <c r="BE40" s="33"/>
      <c r="BF40" s="33"/>
      <c r="BG40" s="33"/>
      <c r="BH40" s="33"/>
      <c r="BI40" s="33"/>
      <c r="BJ40" s="33"/>
      <c r="BK40" s="33"/>
      <c r="BL40" s="33"/>
    </row>
    <row r="41" spans="1:64" s="32" customFormat="1" ht="14.4" thickBot="1" x14ac:dyDescent="0.3">
      <c r="A41" s="10"/>
      <c r="B41" s="114" t="s">
        <v>58</v>
      </c>
      <c r="C41" s="101"/>
      <c r="D41" s="102">
        <v>1</v>
      </c>
      <c r="E41" s="168">
        <v>46111</v>
      </c>
      <c r="F41" s="168">
        <f>E42</f>
        <v>46111</v>
      </c>
      <c r="G41" s="12"/>
      <c r="H41" s="3">
        <f t="shared" si="5"/>
        <v>1</v>
      </c>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t="s">
        <v>71</v>
      </c>
      <c r="AS41" s="33"/>
      <c r="AT41" s="33"/>
      <c r="AU41" s="33"/>
      <c r="AV41" s="33"/>
      <c r="AW41" s="33"/>
      <c r="AX41" s="33"/>
      <c r="AY41" s="33"/>
      <c r="AZ41" s="33"/>
      <c r="BA41" s="33"/>
      <c r="BB41" s="33"/>
      <c r="BC41" s="33"/>
      <c r="BD41" s="33"/>
      <c r="BE41" s="33"/>
      <c r="BF41" s="33"/>
      <c r="BG41" s="33"/>
      <c r="BH41" s="33"/>
      <c r="BI41" s="33"/>
      <c r="BJ41" s="33"/>
      <c r="BK41" s="33"/>
      <c r="BL41" s="33"/>
    </row>
    <row r="42" spans="1:64" s="32" customFormat="1" ht="14.4" thickBot="1" x14ac:dyDescent="0.3">
      <c r="A42" s="10"/>
      <c r="B42" s="115" t="s">
        <v>59</v>
      </c>
      <c r="C42" s="116"/>
      <c r="D42" s="117">
        <v>1</v>
      </c>
      <c r="E42" s="168">
        <f>E41</f>
        <v>46111</v>
      </c>
      <c r="F42" s="168">
        <f>E42</f>
        <v>46111</v>
      </c>
      <c r="G42" s="12"/>
      <c r="H42" s="3">
        <f t="shared" si="5"/>
        <v>1</v>
      </c>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t="s">
        <v>71</v>
      </c>
      <c r="AS42" s="33"/>
      <c r="AT42" s="33"/>
      <c r="AU42" s="33"/>
      <c r="AV42" s="33"/>
      <c r="AW42" s="33"/>
      <c r="AX42" s="33"/>
      <c r="AY42" s="33"/>
      <c r="AZ42" s="33"/>
      <c r="BA42" s="33"/>
      <c r="BB42" s="33"/>
      <c r="BC42" s="33"/>
      <c r="BD42" s="33"/>
      <c r="BE42" s="33"/>
      <c r="BF42" s="33"/>
      <c r="BG42" s="33"/>
      <c r="BH42" s="33"/>
      <c r="BI42" s="33"/>
      <c r="BJ42" s="33"/>
      <c r="BK42" s="33"/>
      <c r="BL42" s="33"/>
    </row>
    <row r="43" spans="1:64" s="32" customFormat="1" ht="23.4" customHeight="1" thickBot="1" x14ac:dyDescent="0.3">
      <c r="A43" s="183">
        <v>9</v>
      </c>
      <c r="B43" s="180" t="s">
        <v>60</v>
      </c>
      <c r="C43" s="181"/>
      <c r="D43" s="181"/>
      <c r="E43" s="181"/>
      <c r="F43" s="182"/>
      <c r="G43" s="12"/>
      <c r="H43" s="3" t="str">
        <f t="shared" si="5"/>
        <v/>
      </c>
      <c r="I43" s="39"/>
      <c r="J43" s="39"/>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c r="BB43" s="39"/>
      <c r="BC43" s="39"/>
      <c r="BD43" s="39"/>
      <c r="BE43" s="39"/>
      <c r="BF43" s="39"/>
      <c r="BG43" s="39"/>
      <c r="BH43" s="39"/>
      <c r="BI43" s="39"/>
      <c r="BJ43" s="39"/>
      <c r="BK43" s="39"/>
      <c r="BL43" s="39"/>
    </row>
    <row r="44" spans="1:64" s="32" customFormat="1" ht="14.4" thickBot="1" x14ac:dyDescent="0.3">
      <c r="B44" s="176" t="s">
        <v>61</v>
      </c>
      <c r="C44" s="177"/>
      <c r="D44" s="178">
        <v>1</v>
      </c>
      <c r="E44" s="179">
        <f>E42+1</f>
        <v>46112</v>
      </c>
      <c r="F44" s="179">
        <f>F42+1</f>
        <v>46112</v>
      </c>
      <c r="G44" s="12"/>
      <c r="H44" s="3">
        <f t="shared" si="5"/>
        <v>1</v>
      </c>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t="s">
        <v>71</v>
      </c>
      <c r="AT44" s="33"/>
      <c r="AU44" s="33"/>
      <c r="AV44" s="33"/>
      <c r="AW44" s="33"/>
      <c r="AX44" s="33"/>
      <c r="AY44" s="33"/>
      <c r="AZ44" s="33"/>
      <c r="BA44" s="33"/>
      <c r="BB44" s="33"/>
      <c r="BC44" s="33"/>
      <c r="BD44" s="33"/>
      <c r="BE44" s="33"/>
      <c r="BF44" s="33"/>
      <c r="BG44" s="33"/>
      <c r="BH44" s="33"/>
      <c r="BI44" s="33"/>
      <c r="BJ44" s="33"/>
      <c r="BK44" s="33"/>
      <c r="BL44" s="33"/>
    </row>
    <row r="45" spans="1:64" s="32" customFormat="1" ht="14.4" thickBot="1" x14ac:dyDescent="0.3">
      <c r="A45" s="10"/>
      <c r="B45" s="105" t="s">
        <v>62</v>
      </c>
      <c r="C45" s="103"/>
      <c r="D45" s="104">
        <v>1</v>
      </c>
      <c r="E45" s="179">
        <f>E44</f>
        <v>46112</v>
      </c>
      <c r="F45" s="179">
        <f>F44</f>
        <v>46112</v>
      </c>
      <c r="G45" s="12"/>
      <c r="H45" s="3">
        <f t="shared" si="5"/>
        <v>1</v>
      </c>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t="s">
        <v>71</v>
      </c>
      <c r="AT45" s="33"/>
      <c r="AU45" s="33"/>
      <c r="AV45" s="33"/>
      <c r="AW45" s="33"/>
      <c r="AX45" s="33"/>
      <c r="AY45" s="33"/>
      <c r="AZ45" s="33"/>
      <c r="BA45" s="33"/>
      <c r="BB45" s="33"/>
      <c r="BC45" s="33"/>
      <c r="BD45" s="33"/>
      <c r="BE45" s="33"/>
      <c r="BF45" s="33"/>
      <c r="BG45" s="33"/>
      <c r="BH45" s="33"/>
      <c r="BI45" s="33"/>
      <c r="BJ45" s="33"/>
      <c r="BK45" s="33"/>
      <c r="BL45" s="33"/>
    </row>
    <row r="46" spans="1:64" s="32" customFormat="1" ht="14.4" thickBot="1" x14ac:dyDescent="0.3">
      <c r="A46" s="10"/>
      <c r="B46" s="106" t="s">
        <v>63</v>
      </c>
      <c r="C46" s="107"/>
      <c r="D46" s="108">
        <v>1</v>
      </c>
      <c r="E46" s="109">
        <f>E45</f>
        <v>46112</v>
      </c>
      <c r="F46" s="110">
        <f>F45</f>
        <v>46112</v>
      </c>
      <c r="G46" s="12"/>
      <c r="H46" s="3">
        <f t="shared" si="5"/>
        <v>1</v>
      </c>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t="s">
        <v>71</v>
      </c>
      <c r="AT46" s="33"/>
      <c r="AU46" s="33"/>
      <c r="AV46" s="33"/>
      <c r="AW46" s="33"/>
      <c r="AX46" s="33"/>
      <c r="AY46" s="33"/>
      <c r="AZ46" s="33"/>
      <c r="BA46" s="33"/>
      <c r="BB46" s="33"/>
      <c r="BC46" s="33"/>
      <c r="BD46" s="33"/>
      <c r="BE46" s="33"/>
      <c r="BF46" s="33"/>
      <c r="BG46" s="33"/>
      <c r="BH46" s="33"/>
      <c r="BI46" s="33"/>
      <c r="BJ46" s="33"/>
      <c r="BK46" s="33"/>
      <c r="BL46" s="33"/>
    </row>
    <row r="47" spans="1:64" s="32" customFormat="1" ht="28.8" customHeight="1" thickBot="1" x14ac:dyDescent="0.3">
      <c r="A47" s="183">
        <v>10</v>
      </c>
      <c r="B47" s="162" t="s">
        <v>64</v>
      </c>
      <c r="C47" s="163"/>
      <c r="D47" s="163"/>
      <c r="E47" s="163"/>
      <c r="F47" s="164"/>
      <c r="G47" s="12"/>
      <c r="H47" s="3" t="str">
        <f t="shared" si="5"/>
        <v/>
      </c>
      <c r="I47" s="39"/>
      <c r="J47" s="39"/>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39"/>
      <c r="AY47" s="39"/>
      <c r="AZ47" s="39"/>
      <c r="BA47" s="39"/>
      <c r="BB47" s="39"/>
      <c r="BC47" s="39"/>
      <c r="BD47" s="39"/>
      <c r="BE47" s="39"/>
      <c r="BF47" s="39"/>
      <c r="BG47" s="39"/>
      <c r="BH47" s="39"/>
      <c r="BI47" s="39"/>
      <c r="BJ47" s="39"/>
      <c r="BK47" s="39"/>
      <c r="BL47" s="39"/>
    </row>
    <row r="48" spans="1:64" s="32" customFormat="1" ht="14.4" thickBot="1" x14ac:dyDescent="0.3">
      <c r="A48" s="10"/>
      <c r="B48" s="157" t="s">
        <v>65</v>
      </c>
      <c r="C48" s="158"/>
      <c r="D48" s="159">
        <v>1</v>
      </c>
      <c r="E48" s="160">
        <f>E46</f>
        <v>46112</v>
      </c>
      <c r="F48" s="161">
        <f>E48</f>
        <v>46112</v>
      </c>
      <c r="G48" s="12"/>
      <c r="H48" s="3">
        <f t="shared" si="5"/>
        <v>1</v>
      </c>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t="s">
        <v>71</v>
      </c>
      <c r="AT48" s="33"/>
      <c r="AU48" s="33"/>
      <c r="AV48" s="33"/>
      <c r="AW48" s="33"/>
      <c r="AX48" s="33"/>
      <c r="AY48" s="33"/>
      <c r="AZ48" s="33"/>
      <c r="BA48" s="33"/>
      <c r="BB48" s="33"/>
      <c r="BC48" s="33"/>
      <c r="BD48" s="33"/>
      <c r="BE48" s="33"/>
      <c r="BF48" s="33"/>
      <c r="BG48" s="33"/>
      <c r="BH48" s="33"/>
      <c r="BI48" s="33"/>
      <c r="BJ48" s="33"/>
      <c r="BK48" s="33"/>
      <c r="BL48" s="33"/>
    </row>
  </sheetData>
  <mergeCells count="29">
    <mergeCell ref="B32:F32"/>
    <mergeCell ref="B37:F37"/>
    <mergeCell ref="B39:F39"/>
    <mergeCell ref="B43:F43"/>
    <mergeCell ref="B47:F47"/>
    <mergeCell ref="B12:F12"/>
    <mergeCell ref="B8:F8"/>
    <mergeCell ref="B17:F17"/>
    <mergeCell ref="B22:F22"/>
    <mergeCell ref="B27:F27"/>
    <mergeCell ref="BF4:BL4"/>
    <mergeCell ref="I4:O4"/>
    <mergeCell ref="P4:V4"/>
    <mergeCell ref="W4:AC4"/>
    <mergeCell ref="AD4:AJ4"/>
    <mergeCell ref="AK4:AQ4"/>
    <mergeCell ref="AR4:AX4"/>
    <mergeCell ref="AY4:BE4"/>
    <mergeCell ref="F5:F6"/>
    <mergeCell ref="Q2:Z2"/>
    <mergeCell ref="Q1:Z1"/>
    <mergeCell ref="I1:O1"/>
    <mergeCell ref="I2:O2"/>
    <mergeCell ref="B1:F1"/>
    <mergeCell ref="A5:A6"/>
    <mergeCell ref="B5:B6"/>
    <mergeCell ref="C5:C6"/>
    <mergeCell ref="D5:D6"/>
    <mergeCell ref="E5:E6"/>
  </mergeCells>
  <conditionalFormatting sqref="D7 D38 D48 D9:D11 D40:D42 D44:D46 D33:D36 D28:D31 D23:D26 D18:D21 D13:D16">
    <cfRule type="dataBar" priority="97">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7">
    <cfRule type="expression" dxfId="89" priority="75">
      <formula>AND(TODAY()&gt;=I$5, TODAY()&lt;J$5)</formula>
    </cfRule>
  </conditionalFormatting>
  <conditionalFormatting sqref="I9:BL11">
    <cfRule type="expression" dxfId="88" priority="80">
      <formula>AND(task_start&lt;=I$5,ROUNDDOWN((task_end-task_start+1)*task_progress,0)+task_start-1&gt;=I$5)</formula>
    </cfRule>
    <cfRule type="expression" dxfId="87" priority="81" stopIfTrue="1">
      <formula>AND(task_end&gt;=I$5,task_start&lt;J$5)</formula>
    </cfRule>
  </conditionalFormatting>
  <conditionalFormatting sqref="I13:BL16">
    <cfRule type="expression" dxfId="86" priority="78">
      <formula>AND(task_start&lt;=I$5,ROUNDDOWN((task_end-task_start+1)*task_progress,0)+task_start-1&gt;=I$5)</formula>
    </cfRule>
    <cfRule type="expression" dxfId="85" priority="79" stopIfTrue="1">
      <formula>AND(task_end&gt;=I$5,task_start&lt;J$5)</formula>
    </cfRule>
  </conditionalFormatting>
  <conditionalFormatting sqref="I18:BL21">
    <cfRule type="expression" dxfId="84" priority="76">
      <formula>AND(task_start&lt;=I$5,ROUNDDOWN((task_end-task_start+1)*task_progress,0)+task_start-1&gt;=I$5)</formula>
    </cfRule>
    <cfRule type="expression" dxfId="83" priority="77" stopIfTrue="1">
      <formula>AND(task_end&gt;=I$5,task_start&lt;J$5)</formula>
    </cfRule>
  </conditionalFormatting>
  <conditionalFormatting sqref="I23:BL26">
    <cfRule type="expression" dxfId="82" priority="110">
      <formula>AND(task_start&lt;=I$5,ROUNDDOWN((task_end-task_start+1)*task_progress,0)+task_start-1&gt;=I$5)</formula>
    </cfRule>
    <cfRule type="expression" dxfId="81" priority="111" stopIfTrue="1">
      <formula>AND(task_end&gt;=I$5,task_start&lt;J$5)</formula>
    </cfRule>
  </conditionalFormatting>
  <conditionalFormatting sqref="I28:BL28">
    <cfRule type="expression" dxfId="80" priority="66">
      <formula>AND(TODAY()&gt;=I$5, TODAY()&lt;J$5)</formula>
    </cfRule>
  </conditionalFormatting>
  <conditionalFormatting sqref="I28:BL28">
    <cfRule type="expression" dxfId="79" priority="67">
      <formula>AND(task_start&lt;=I$5,ROUNDDOWN((task_end-task_start+1)*task_progress,0)+task_start-1&gt;=I$5)</formula>
    </cfRule>
    <cfRule type="expression" dxfId="78" priority="68" stopIfTrue="1">
      <formula>AND(task_end&gt;=I$5,task_start&lt;J$5)</formula>
    </cfRule>
  </conditionalFormatting>
  <conditionalFormatting sqref="I29:BL29">
    <cfRule type="expression" dxfId="77" priority="63">
      <formula>AND(TODAY()&gt;=I$5, TODAY()&lt;J$5)</formula>
    </cfRule>
  </conditionalFormatting>
  <conditionalFormatting sqref="I29:BL29">
    <cfRule type="expression" dxfId="76" priority="64">
      <formula>AND(task_start&lt;=I$5,ROUNDDOWN((task_end-task_start+1)*task_progress,0)+task_start-1&gt;=I$5)</formula>
    </cfRule>
    <cfRule type="expression" dxfId="75" priority="65" stopIfTrue="1">
      <formula>AND(task_end&gt;=I$5,task_start&lt;J$5)</formula>
    </cfRule>
  </conditionalFormatting>
  <conditionalFormatting sqref="I30:BL30">
    <cfRule type="expression" dxfId="74" priority="60">
      <formula>AND(TODAY()&gt;=I$5, TODAY()&lt;J$5)</formula>
    </cfRule>
  </conditionalFormatting>
  <conditionalFormatting sqref="I30:BL30">
    <cfRule type="expression" dxfId="73" priority="61">
      <formula>AND(task_start&lt;=I$5,ROUNDDOWN((task_end-task_start+1)*task_progress,0)+task_start-1&gt;=I$5)</formula>
    </cfRule>
    <cfRule type="expression" dxfId="72" priority="62" stopIfTrue="1">
      <formula>AND(task_end&gt;=I$5,task_start&lt;J$5)</formula>
    </cfRule>
  </conditionalFormatting>
  <conditionalFormatting sqref="I31:BL31">
    <cfRule type="expression" dxfId="71" priority="57">
      <formula>AND(TODAY()&gt;=I$5, TODAY()&lt;J$5)</formula>
    </cfRule>
  </conditionalFormatting>
  <conditionalFormatting sqref="I31:BL31">
    <cfRule type="expression" dxfId="70" priority="58">
      <formula>AND(task_start&lt;=I$5,ROUNDDOWN((task_end-task_start+1)*task_progress,0)+task_start-1&gt;=I$5)</formula>
    </cfRule>
    <cfRule type="expression" dxfId="69" priority="59" stopIfTrue="1">
      <formula>AND(task_end&gt;=I$5,task_start&lt;J$5)</formula>
    </cfRule>
  </conditionalFormatting>
  <conditionalFormatting sqref="I33:BL33">
    <cfRule type="expression" dxfId="65" priority="51">
      <formula>AND(TODAY()&gt;=I$5, TODAY()&lt;J$5)</formula>
    </cfRule>
  </conditionalFormatting>
  <conditionalFormatting sqref="I33:BL33">
    <cfRule type="expression" dxfId="64" priority="52">
      <formula>AND(task_start&lt;=I$5,ROUNDDOWN((task_end-task_start+1)*task_progress,0)+task_start-1&gt;=I$5)</formula>
    </cfRule>
    <cfRule type="expression" dxfId="63" priority="53" stopIfTrue="1">
      <formula>AND(task_end&gt;=I$5,task_start&lt;J$5)</formula>
    </cfRule>
  </conditionalFormatting>
  <conditionalFormatting sqref="I34:BL34">
    <cfRule type="expression" dxfId="62" priority="48">
      <formula>AND(TODAY()&gt;=I$5, TODAY()&lt;J$5)</formula>
    </cfRule>
  </conditionalFormatting>
  <conditionalFormatting sqref="I34:BL34">
    <cfRule type="expression" dxfId="61" priority="49">
      <formula>AND(task_start&lt;=I$5,ROUNDDOWN((task_end-task_start+1)*task_progress,0)+task_start-1&gt;=I$5)</formula>
    </cfRule>
    <cfRule type="expression" dxfId="60" priority="50" stopIfTrue="1">
      <formula>AND(task_end&gt;=I$5,task_start&lt;J$5)</formula>
    </cfRule>
  </conditionalFormatting>
  <conditionalFormatting sqref="I35:BL35">
    <cfRule type="expression" dxfId="59" priority="45">
      <formula>AND(TODAY()&gt;=I$5, TODAY()&lt;J$5)</formula>
    </cfRule>
  </conditionalFormatting>
  <conditionalFormatting sqref="I35:BL35">
    <cfRule type="expression" dxfId="58" priority="46">
      <formula>AND(task_start&lt;=I$5,ROUNDDOWN((task_end-task_start+1)*task_progress,0)+task_start-1&gt;=I$5)</formula>
    </cfRule>
    <cfRule type="expression" dxfId="57" priority="47" stopIfTrue="1">
      <formula>AND(task_end&gt;=I$5,task_start&lt;J$5)</formula>
    </cfRule>
  </conditionalFormatting>
  <conditionalFormatting sqref="I36:BL36">
    <cfRule type="expression" dxfId="56" priority="42">
      <formula>AND(TODAY()&gt;=I$5, TODAY()&lt;J$5)</formula>
    </cfRule>
  </conditionalFormatting>
  <conditionalFormatting sqref="I36:BL36">
    <cfRule type="expression" dxfId="55" priority="43">
      <formula>AND(task_start&lt;=I$5,ROUNDDOWN((task_end-task_start+1)*task_progress,0)+task_start-1&gt;=I$5)</formula>
    </cfRule>
    <cfRule type="expression" dxfId="54" priority="44" stopIfTrue="1">
      <formula>AND(task_end&gt;=I$5,task_start&lt;J$5)</formula>
    </cfRule>
  </conditionalFormatting>
  <conditionalFormatting sqref="I38:BL38">
    <cfRule type="expression" dxfId="50" priority="36">
      <formula>AND(TODAY()&gt;=I$5, TODAY()&lt;J$5)</formula>
    </cfRule>
  </conditionalFormatting>
  <conditionalFormatting sqref="I38:BL38">
    <cfRule type="expression" dxfId="49" priority="37">
      <formula>AND(task_start&lt;=I$5,ROUNDDOWN((task_end-task_start+1)*task_progress,0)+task_start-1&gt;=I$5)</formula>
    </cfRule>
    <cfRule type="expression" dxfId="48" priority="38" stopIfTrue="1">
      <formula>AND(task_end&gt;=I$5,task_start&lt;J$5)</formula>
    </cfRule>
  </conditionalFormatting>
  <conditionalFormatting sqref="I40:BL40">
    <cfRule type="expression" dxfId="35" priority="30">
      <formula>AND(TODAY()&gt;=I$5, TODAY()&lt;J$5)</formula>
    </cfRule>
  </conditionalFormatting>
  <conditionalFormatting sqref="I40:BL40">
    <cfRule type="expression" dxfId="34" priority="31">
      <formula>AND(task_start&lt;=I$5,ROUNDDOWN((task_end-task_start+1)*task_progress,0)+task_start-1&gt;=I$5)</formula>
    </cfRule>
    <cfRule type="expression" dxfId="33" priority="32" stopIfTrue="1">
      <formula>AND(task_end&gt;=I$5,task_start&lt;J$5)</formula>
    </cfRule>
  </conditionalFormatting>
  <conditionalFormatting sqref="I41:BL41">
    <cfRule type="expression" dxfId="32" priority="27">
      <formula>AND(TODAY()&gt;=I$5, TODAY()&lt;J$5)</formula>
    </cfRule>
  </conditionalFormatting>
  <conditionalFormatting sqref="I41:BL41">
    <cfRule type="expression" dxfId="31" priority="28">
      <formula>AND(task_start&lt;=I$5,ROUNDDOWN((task_end-task_start+1)*task_progress,0)+task_start-1&gt;=I$5)</formula>
    </cfRule>
    <cfRule type="expression" dxfId="30" priority="29" stopIfTrue="1">
      <formula>AND(task_end&gt;=I$5,task_start&lt;J$5)</formula>
    </cfRule>
  </conditionalFormatting>
  <conditionalFormatting sqref="I42:BL42">
    <cfRule type="expression" dxfId="29" priority="24">
      <formula>AND(TODAY()&gt;=I$5, TODAY()&lt;J$5)</formula>
    </cfRule>
  </conditionalFormatting>
  <conditionalFormatting sqref="I42:BL42">
    <cfRule type="expression" dxfId="28" priority="25">
      <formula>AND(task_start&lt;=I$5,ROUNDDOWN((task_end-task_start+1)*task_progress,0)+task_start-1&gt;=I$5)</formula>
    </cfRule>
    <cfRule type="expression" dxfId="27" priority="26" stopIfTrue="1">
      <formula>AND(task_end&gt;=I$5,task_start&lt;J$5)</formula>
    </cfRule>
  </conditionalFormatting>
  <conditionalFormatting sqref="I44:BL44">
    <cfRule type="expression" dxfId="23" priority="18">
      <formula>AND(TODAY()&gt;=I$5, TODAY()&lt;J$5)</formula>
    </cfRule>
  </conditionalFormatting>
  <conditionalFormatting sqref="I44:BL44">
    <cfRule type="expression" dxfId="22" priority="19">
      <formula>AND(task_start&lt;=I$5,ROUNDDOWN((task_end-task_start+1)*task_progress,0)+task_start-1&gt;=I$5)</formula>
    </cfRule>
    <cfRule type="expression" dxfId="21" priority="20" stopIfTrue="1">
      <formula>AND(task_end&gt;=I$5,task_start&lt;J$5)</formula>
    </cfRule>
  </conditionalFormatting>
  <conditionalFormatting sqref="I45:BL45">
    <cfRule type="expression" dxfId="17" priority="15">
      <formula>AND(TODAY()&gt;=I$5, TODAY()&lt;J$5)</formula>
    </cfRule>
  </conditionalFormatting>
  <conditionalFormatting sqref="I45:BL45">
    <cfRule type="expression" dxfId="16" priority="16">
      <formula>AND(task_start&lt;=I$5,ROUNDDOWN((task_end-task_start+1)*task_progress,0)+task_start-1&gt;=I$5)</formula>
    </cfRule>
    <cfRule type="expression" dxfId="15" priority="17" stopIfTrue="1">
      <formula>AND(task_end&gt;=I$5,task_start&lt;J$5)</formula>
    </cfRule>
  </conditionalFormatting>
  <conditionalFormatting sqref="I46:BL46">
    <cfRule type="expression" dxfId="14" priority="12">
      <formula>AND(TODAY()&gt;=I$5, TODAY()&lt;J$5)</formula>
    </cfRule>
  </conditionalFormatting>
  <conditionalFormatting sqref="I46:BL46">
    <cfRule type="expression" dxfId="13" priority="13">
      <formula>AND(task_start&lt;=I$5,ROUNDDOWN((task_end-task_start+1)*task_progress,0)+task_start-1&gt;=I$5)</formula>
    </cfRule>
    <cfRule type="expression" dxfId="12" priority="14" stopIfTrue="1">
      <formula>AND(task_end&gt;=I$5,task_start&lt;J$5)</formula>
    </cfRule>
  </conditionalFormatting>
  <conditionalFormatting sqref="I48:BL48">
    <cfRule type="expression" dxfId="8" priority="6">
      <formula>AND(TODAY()&gt;=I$5, TODAY()&lt;J$5)</formula>
    </cfRule>
  </conditionalFormatting>
  <conditionalFormatting sqref="I48:BL48">
    <cfRule type="expression" dxfId="7" priority="7">
      <formula>AND(task_start&lt;=I$5,ROUNDDOWN((task_end-task_start+1)*task_progress,0)+task_start-1&gt;=I$5)</formula>
    </cfRule>
    <cfRule type="expression" dxfId="6" priority="8" stopIfTrue="1">
      <formula>AND(task_end&gt;=I$5,task_start&lt;J$5)</formula>
    </cfRule>
  </conditionalFormatting>
  <conditionalFormatting sqref="I32:BL32">
    <cfRule type="expression" dxfId="5" priority="5">
      <formula>AND(TODAY()&gt;=I$5, TODAY()&lt;J$5)</formula>
    </cfRule>
  </conditionalFormatting>
  <conditionalFormatting sqref="I37:BL37">
    <cfRule type="expression" dxfId="3" priority="4">
      <formula>AND(TODAY()&gt;=I$5, TODAY()&lt;J$5)</formula>
    </cfRule>
  </conditionalFormatting>
  <conditionalFormatting sqref="I39:BL39">
    <cfRule type="expression" dxfId="2" priority="3">
      <formula>AND(TODAY()&gt;=I$5, TODAY()&lt;J$5)</formula>
    </cfRule>
  </conditionalFormatting>
  <conditionalFormatting sqref="I43:BL43">
    <cfRule type="expression" dxfId="1" priority="2">
      <formula>AND(TODAY()&gt;=I$5, TODAY()&lt;J$5)</formula>
    </cfRule>
  </conditionalFormatting>
  <conditionalFormatting sqref="I47:BL47">
    <cfRule type="expression" dxfId="0" priority="1">
      <formula>AND(TODAY()&gt;=I$5, TODAY()&lt;J$5)</formula>
    </cfRule>
  </conditionalFormatting>
  <dataValidations count="8">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 B8 contains the Phase 1 sample title. Enter a new title in cell B8._x000a_To delete the phase and work only from tasks, simply delete this row." sqref="A8 A12 A17 A47 A43 A39 A37 A32 A27 A22"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 D38 D48 D9:D11 D40:D42 D44:D46 D33:D36 D28:D31 D23:D26 D18:D21 D13:D16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4" customWidth="1"/>
    <col min="2" max="16384" width="9" style="1"/>
  </cols>
  <sheetData>
    <row r="1" spans="1:2" ht="46.5" customHeight="1" x14ac:dyDescent="0.25"/>
    <row r="2" spans="1:2" s="6" customFormat="1" ht="15.6" x14ac:dyDescent="0.25">
      <c r="A2" s="42" t="s">
        <v>7</v>
      </c>
      <c r="B2" s="5"/>
    </row>
    <row r="3" spans="1:2" s="8" customFormat="1" ht="27" customHeight="1" x14ac:dyDescent="0.25">
      <c r="A3" s="43"/>
      <c r="B3" s="9"/>
    </row>
    <row r="4" spans="1:2" s="7" customFormat="1" ht="30" x14ac:dyDescent="0.7">
      <c r="A4" s="44" t="s">
        <v>6</v>
      </c>
    </row>
    <row r="5" spans="1:2" ht="74.25" customHeight="1" x14ac:dyDescent="0.25">
      <c r="A5" s="45" t="s">
        <v>15</v>
      </c>
    </row>
    <row r="6" spans="1:2" ht="26.25" customHeight="1" x14ac:dyDescent="0.25">
      <c r="A6" s="44" t="s">
        <v>18</v>
      </c>
    </row>
    <row r="7" spans="1:2" s="4" customFormat="1" ht="205.05" customHeight="1" x14ac:dyDescent="0.25">
      <c r="A7" s="46" t="s">
        <v>17</v>
      </c>
    </row>
    <row r="8" spans="1:2" s="7" customFormat="1" ht="30" x14ac:dyDescent="0.7">
      <c r="A8" s="44" t="s">
        <v>8</v>
      </c>
    </row>
    <row r="9" spans="1:2" ht="41.4" x14ac:dyDescent="0.25">
      <c r="A9" s="45" t="s">
        <v>16</v>
      </c>
    </row>
    <row r="10" spans="1:2" s="4" customFormat="1" ht="28.05" customHeight="1" x14ac:dyDescent="0.25">
      <c r="A10" s="47" t="s">
        <v>14</v>
      </c>
    </row>
    <row r="11" spans="1:2" s="7" customFormat="1" ht="30" x14ac:dyDescent="0.7">
      <c r="A11" s="44" t="s">
        <v>5</v>
      </c>
    </row>
    <row r="12" spans="1:2" ht="27.6" x14ac:dyDescent="0.25">
      <c r="A12" s="45" t="s">
        <v>13</v>
      </c>
    </row>
    <row r="13" spans="1:2" s="4" customFormat="1" ht="28.05" customHeight="1" x14ac:dyDescent="0.25">
      <c r="A13" s="47" t="s">
        <v>1</v>
      </c>
    </row>
    <row r="14" spans="1:2" s="7" customFormat="1" ht="30" x14ac:dyDescent="0.7">
      <c r="A14" s="44" t="s">
        <v>9</v>
      </c>
    </row>
    <row r="15" spans="1:2" ht="75" customHeight="1" x14ac:dyDescent="0.25">
      <c r="A15" s="45" t="s">
        <v>10</v>
      </c>
    </row>
    <row r="16" spans="1:2" ht="69" x14ac:dyDescent="0.25">
      <c r="A16" s="45" t="s">
        <v>11</v>
      </c>
    </row>
    <row r="17" spans="1:1" x14ac:dyDescent="0.25">
      <c r="A17" s="48"/>
    </row>
    <row r="18" spans="1:1" x14ac:dyDescent="0.25">
      <c r="A18" s="48"/>
    </row>
    <row r="19" spans="1:1" x14ac:dyDescent="0.25">
      <c r="A19" s="48"/>
    </row>
    <row r="20" spans="1:1" x14ac:dyDescent="0.25">
      <c r="A20" s="48"/>
    </row>
    <row r="21" spans="1:1" x14ac:dyDescent="0.25">
      <c r="A21" s="48"/>
    </row>
    <row r="22" spans="1:1" x14ac:dyDescent="0.25">
      <c r="A22" s="48"/>
    </row>
    <row r="23" spans="1:1" x14ac:dyDescent="0.25">
      <c r="A23" s="48"/>
    </row>
    <row r="24" spans="1:1" x14ac:dyDescent="0.25">
      <c r="A24" s="48"/>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Bryce Ripley</dc:creator>
  <dc:description/>
  <cp:lastModifiedBy>Bryce Ripley</cp:lastModifiedBy>
  <dcterms:created xsi:type="dcterms:W3CDTF">2022-03-11T22:41:12Z</dcterms:created>
  <dcterms:modified xsi:type="dcterms:W3CDTF">2026-03-31T04:32:28Z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